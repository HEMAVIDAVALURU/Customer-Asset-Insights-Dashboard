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hidePivotFieldList="1"/>
  <mc:AlternateContent xmlns:mc="http://schemas.openxmlformats.org/markup-compatibility/2006">
    <mc:Choice Requires="x15">
      <x15ac:absPath xmlns:x15ac="http://schemas.microsoft.com/office/spreadsheetml/2010/11/ac" url="https://d.docs.live.net/95972a4c0898a4ff/Desktop/"/>
    </mc:Choice>
  </mc:AlternateContent>
  <xr:revisionPtr revIDLastSave="0" documentId="8_{D082141F-7605-41A3-A10E-405E00ABC6B1}" xr6:coauthVersionLast="36" xr6:coauthVersionMax="36" xr10:uidLastSave="{00000000-0000-0000-0000-000000000000}"/>
  <bookViews>
    <workbookView xWindow="-120" yWindow="-120" windowWidth="29040" windowHeight="15840" activeTab="2" xr2:uid="{26D4546B-D2A1-4444-8EAF-A6228F96F0C1}"/>
  </bookViews>
  <sheets>
    <sheet name="Data" sheetId="2" r:id="rId1"/>
    <sheet name="Pivots" sheetId="6" r:id="rId2"/>
    <sheet name="Customer Report" sheetId="5" r:id="rId3"/>
    <sheet name="Assets" sheetId="4" r:id="rId4"/>
  </sheets>
  <definedNames>
    <definedName name="_xlnm._FilterDatabase" localSheetId="0" hidden="1">Data!$B$3:$H$1003</definedName>
    <definedName name="_xlcn.WorksheetConnection_07.sampledataexcelportfolioproject.xlsxcalls" hidden="1">calls[]</definedName>
    <definedName name="_xlcn.WorksheetConnection_07.sampledataexcelportfolioproject.xlsxcustomers"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N8" i="6" l="1"/>
  <c r="N9" i="6"/>
  <c r="N10" i="6"/>
  <c r="N11" i="6"/>
  <c r="K32" i="6" l="1"/>
  <c r="K31" i="6"/>
  <c r="K30" i="6"/>
  <c r="P4" i="6" l="1"/>
  <c r="L8" i="6"/>
  <c r="L9" i="6"/>
  <c r="L10" i="6"/>
  <c r="L11" i="6"/>
  <c r="M7" i="6"/>
  <c r="N7" i="6"/>
  <c r="M8" i="6"/>
  <c r="M9" i="6"/>
  <c r="M10" i="6"/>
  <c r="M11" i="6"/>
  <c r="L7" i="6"/>
  <c r="O8" i="6" l="1"/>
  <c r="P7" i="6"/>
  <c r="P11" i="6"/>
  <c r="P10" i="6"/>
  <c r="P9" i="6"/>
  <c r="O11" i="6"/>
  <c r="O10" i="6"/>
  <c r="O9" i="6"/>
  <c r="O7" i="6"/>
  <c r="P8"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c r="K77" i="2" a="1"/>
  <c r="K77" i="2"/>
  <c r="K78" i="2" a="1"/>
  <c r="K78" i="2" s="1"/>
  <c r="K79" i="2" a="1"/>
  <c r="K79" i="2" s="1"/>
  <c r="K80" i="2" a="1"/>
  <c r="K80" i="2" s="1"/>
  <c r="K81" i="2" a="1"/>
  <c r="K81" i="2" s="1"/>
  <c r="K82" i="2" a="1"/>
  <c r="K82" i="2" s="1"/>
  <c r="K83" i="2" a="1"/>
  <c r="K83" i="2" s="1"/>
  <c r="K84" i="2" a="1"/>
  <c r="K84" i="2" s="1"/>
  <c r="K85" i="2" a="1"/>
  <c r="K85" i="2"/>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c r="K125" i="2" a="1"/>
  <c r="K125" i="2" s="1"/>
  <c r="K126" i="2" a="1"/>
  <c r="K126" i="2" s="1"/>
  <c r="K127" i="2" a="1"/>
  <c r="K127" i="2" s="1"/>
  <c r="K128" i="2" a="1"/>
  <c r="K128" i="2" s="1"/>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s="1"/>
  <c r="K140" i="2" a="1"/>
  <c r="K140" i="2" s="1"/>
  <c r="K141" i="2" a="1"/>
  <c r="K141" i="2" s="1"/>
  <c r="K142" i="2" a="1"/>
  <c r="K142" i="2" s="1"/>
  <c r="K143" i="2" a="1"/>
  <c r="K143" i="2"/>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s="1"/>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c r="K216" i="2" a="1"/>
  <c r="K216" i="2" s="1"/>
  <c r="K217" i="2" a="1"/>
  <c r="K217" i="2" s="1"/>
  <c r="K218" i="2" a="1"/>
  <c r="K218" i="2" s="1"/>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c r="K493" i="2" a="1"/>
  <c r="K493" i="2" s="1"/>
  <c r="K494" i="2" a="1"/>
  <c r="K494" i="2" s="1"/>
  <c r="K495" i="2" a="1"/>
  <c r="K495" i="2" s="1"/>
  <c r="K496" i="2" a="1"/>
  <c r="K496" i="2" s="1"/>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s="1"/>
  <c r="K514" i="2" a="1"/>
  <c r="K514" i="2" s="1"/>
  <c r="K515" i="2" a="1"/>
  <c r="K515" i="2" s="1"/>
  <c r="K516" i="2" a="1"/>
  <c r="K516" i="2" s="1"/>
  <c r="K517" i="2" a="1"/>
  <c r="K517" i="2"/>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s="1"/>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s="1"/>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s="1"/>
  <c r="K655" i="2" a="1"/>
  <c r="K655" i="2" s="1"/>
  <c r="K656" i="2" a="1"/>
  <c r="K656" i="2" s="1"/>
  <c r="K657" i="2" a="1"/>
  <c r="K657" i="2" s="1"/>
  <c r="K658" i="2" a="1"/>
  <c r="K658" i="2"/>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s="1"/>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s="1"/>
  <c r="K799" i="2" a="1"/>
  <c r="K799" i="2" s="1"/>
  <c r="K800" i="2" a="1"/>
  <c r="K800" i="2" s="1"/>
  <c r="K801" i="2" a="1"/>
  <c r="K801" i="2" s="1"/>
  <c r="K802" i="2" a="1"/>
  <c r="K802" i="2"/>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s="1"/>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7FFE71-05A7-46D2-9C6D-1FA82CF8F2A6}"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1294D3E-F0D2-48D7-A2BB-CCAAAF0354E1}" name="WorksheetConnection_07.sample-data-excel-portfolio-project.xlsx!calls" type="102" refreshedVersion="6"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3" xr16:uid="{C49D76D0-A2BB-492D-9DFA-52ECD5DBBB8E}" name="WorksheetConnection_07.sample-data-excel-portfolio-project.xlsx!customers" type="102" refreshedVersion="6"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sharedStrings.xml><?xml version="1.0" encoding="utf-8"?>
<sst xmlns="http://schemas.openxmlformats.org/spreadsheetml/2006/main" count="3182" uniqueCount="1078">
  <si>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</si>
  <si>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</si>
  <si>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</si>
  <si>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</si>
  <si>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</si>
  <si>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</si>
  <si>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</si>
  <si>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</si>
  <si>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</si>
  <si>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</si>
  <si>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</si>
  <si>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</si>
  <si>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</si>
  <si>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</si>
  <si>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</si>
  <si>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</si>
  <si>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</si>
  <si>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</si>
  <si>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</si>
  <si>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</si>
  <si>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</si>
  <si>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</si>
  <si>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</si>
  <si>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</si>
  <si>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</si>
  <si>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</si>
  <si>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</si>
  <si>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</si>
  <si>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</si>
  <si>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</si>
  <si>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</si>
  <si>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</si>
  <si>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</si>
  <si>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</si>
  <si>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</si>
  <si>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</si>
  <si>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</si>
  <si>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</si>
  <si>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</si>
  <si>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</si>
  <si>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</si>
  <si>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</si>
  <si>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</si>
  <si>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</si>
  <si>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</si>
  <si>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</si>
  <si>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</si>
  <si>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</si>
  <si>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</si>
  <si>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</si>
  <si>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</si>
  <si>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</si>
  <si>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</si>
  <si>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</si>
  <si>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</si>
  <si>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</si>
  <si>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</si>
  <si>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</si>
  <si>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</si>
  <si>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</si>
  <si>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</si>
  <si>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</si>
  <si>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</si>
  <si>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</si>
  <si>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</si>
  <si>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</si>
  <si>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</si>
  <si>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</si>
  <si>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</si>
  <si>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</si>
  <si>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</si>
  <si>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</si>
  <si>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</si>
  <si>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</si>
  <si>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</si>
  <si>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</si>
  <si>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</si>
  <si>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</si>
  <si>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</si>
  <si>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</si>
  <si>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</si>
  <si>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</si>
  <si>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</si>
  <si>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</si>
  <si>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</si>
  <si>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</si>
  <si>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</si>
  <si>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</si>
  <si>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</si>
  <si>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</si>
  <si>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</si>
  <si>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</si>
  <si>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</si>
  <si>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</si>
  <si>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</si>
  <si>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</si>
  <si>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</si>
  <si>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</si>
  <si>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</si>
  <si>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</si>
  <si>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</si>
  <si>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</si>
  <si>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</si>
  <si>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</si>
  <si>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</si>
  <si>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</si>
  <si>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</si>
  <si>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</si>
  <si>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</si>
  <si>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</si>
  <si>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</si>
  <si>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</si>
  <si>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</si>
  <si>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</si>
  <si>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</si>
  <si>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</si>
  <si>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</si>
  <si>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</si>
  <si>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</si>
  <si>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</si>
  <si>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</si>
  <si>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</si>
  <si>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</si>
  <si>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</si>
  <si>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</si>
  <si>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</si>
  <si>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</si>
  <si>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</si>
  <si>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</si>
  <si>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</si>
  <si>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</si>
  <si>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</si>
  <si>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</si>
  <si>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</si>
  <si>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</si>
  <si>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</si>
  <si>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</si>
  <si>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</si>
  <si>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</si>
  <si>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</si>
  <si>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</si>
  <si>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</si>
  <si>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</si>
  <si>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</si>
  <si>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</si>
  <si>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</si>
  <si>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</si>
  <si>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</si>
  <si>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</si>
  <si>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</si>
  <si>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</si>
  <si>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</si>
  <si>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</si>
  <si>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</si>
  <si>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</si>
  <si>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</si>
  <si>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</si>
  <si>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</si>
  <si>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</si>
  <si>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</si>
  <si>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</si>
  <si>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</si>
  <si>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</si>
  <si>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</si>
  <si>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</si>
  <si>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</si>
  <si>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</si>
  <si>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</si>
  <si>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</si>
  <si>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</si>
  <si>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</si>
  <si>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</si>
  <si>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</si>
  <si>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</si>
  <si>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</si>
  <si>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</si>
  <si>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</si>
  <si>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</si>
  <si>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</si>
  <si>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</si>
  <si>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</si>
  <si>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</si>
  <si>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</si>
  <si>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</si>
  <si>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</si>
  <si>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</si>
  <si>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</si>
  <si>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</si>
  <si>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</si>
  <si>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</si>
  <si>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</si>
  <si>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</si>
  <si>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</si>
  <si>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</si>
  <si>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</si>
  <si>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</si>
  <si>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</si>
  <si>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</si>
  <si>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</si>
  <si>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</si>
  <si>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</si>
  <si>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</si>
  <si>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</si>
  <si>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</si>
  <si>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</si>
  <si>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</si>
  <si>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</si>
  <si>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</si>
  <si>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</si>
  <si>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</si>
  <si>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</si>
  <si>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</si>
  <si>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</si>
  <si>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</si>
  <si>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</si>
  <si>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</si>
  <si>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</si>
  <si>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</si>
  <si>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</si>
  <si>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</si>
  <si>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</si>
  <si>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</si>
  <si>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</si>
  <si>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</si>
  <si>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</si>
  <si>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</si>
  <si>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</si>
  <si>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</si>
  <si>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</si>
  <si>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</si>
  <si>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</si>
  <si>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</si>
  <si>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</si>
  <si>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</si>
  <si>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</si>
  <si>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</si>
  <si>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</si>
  <si>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</si>
  <si>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</si>
  <si>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</si>
  <si>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</si>
  <si>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</si>
  <si>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</si>
  <si>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</si>
  <si>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</si>
  <si>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</si>
  <si>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</si>
  <si>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</si>
  <si>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</si>
  <si>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</si>
  <si>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</si>
  <si>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</si>
  <si>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</si>
  <si>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</si>
  <si>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</si>
  <si>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</si>
  <si>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</si>
  <si>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</si>
  <si>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</si>
  <si>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</si>
  <si>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</si>
  <si>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</si>
  <si>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</si>
  <si>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</si>
  <si>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</si>
  <si>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</si>
  <si>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</si>
  <si>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</si>
  <si>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</si>
  <si>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</si>
  <si>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</si>
  <si>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</si>
  <si>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</si>
  <si>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</si>
  <si>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</si>
  <si>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</si>
  <si>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</si>
  <si>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</si>
  <si>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</si>
  <si>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</si>
  <si>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</si>
  <si>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</si>
  <si>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</si>
  <si>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</si>
  <si>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</si>
  <si>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</si>
  <si>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</si>
  <si>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</si>
  <si>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</si>
  <si>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</si>
  <si>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</si>
  <si>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</si>
  <si>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</si>
  <si>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</si>
  <si>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</si>
  <si>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</si>
  <si>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</si>
  <si>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</si>
  <si>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</si>
  <si>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</si>
  <si>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</si>
  <si>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</si>
  <si>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</si>
  <si>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</si>
  <si>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</si>
  <si>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</si>
  <si>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</si>
  <si>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</si>
  <si>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</si>
  <si>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</si>
  <si>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</si>
  <si>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</si>
  <si>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</si>
  <si>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</si>
  <si>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</si>
  <si>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</si>
  <si>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</si>
  <si>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</si>
  <si>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</si>
  <si>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</si>
  <si>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</si>
  <si>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</si>
  <si>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</si>
  <si>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</si>
  <si>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</si>
  <si>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</si>
  <si>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</si>
  <si>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</si>
  <si>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</si>
  <si>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</si>
  <si>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</si>
  <si>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</si>
  <si>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</si>
  <si>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</si>
  <si>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</si>
  <si>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</si>
  <si>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</si>
  <si>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</si>
  <si>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</si>
  <si>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</si>
  <si>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</si>
  <si>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</si>
  <si>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</si>
  <si>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</si>
  <si>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</si>
  <si>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</si>
  <si>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</si>
  <si>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</si>
  <si>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</si>
  <si>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</si>
  <si>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</si>
  <si>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</si>
  <si>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</si>
  <si>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</si>
  <si>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</si>
  <si>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</si>
  <si>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</si>
  <si>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</si>
  <si>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</si>
  <si>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</si>
  <si>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</si>
  <si>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</si>
  <si>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</si>
  <si>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</si>
  <si>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</si>
  <si>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</si>
  <si>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</si>
  <si>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</si>
  <si>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</si>
  <si>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</si>
  <si>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</si>
  <si>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</si>
  <si>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</si>
  <si>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</si>
  <si>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</si>
  <si>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</si>
  <si>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</si>
  <si>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</si>
  <si>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</si>
  <si>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</si>
  <si>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</si>
  <si>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</si>
  <si>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</si>
  <si>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</si>
  <si>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</si>
  <si>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</si>
  <si>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</si>
  <si>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</si>
  <si>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</si>
  <si>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</si>
  <si>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</si>
  <si>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</si>
  <si>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</si>
  <si>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</si>
  <si>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</si>
  <si>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</si>
  <si>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</si>
  <si>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</si>
  <si>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</si>
  <si>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</si>
  <si>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</si>
  <si>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</si>
  <si>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</si>
  <si>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</si>
  <si>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</si>
  <si>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</si>
  <si>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</si>
  <si>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</si>
  <si>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</si>
  <si>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</si>
  <si>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</si>
  <si>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</si>
  <si>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</si>
  <si>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</si>
  <si>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</si>
  <si>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</si>
  <si>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</si>
  <si>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</si>
  <si>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</si>
  <si>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</si>
  <si>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</si>
  <si>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</si>
  <si>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</si>
  <si>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</si>
  <si>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</si>
  <si>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</si>
  <si>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</si>
  <si>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</si>
  <si>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</si>
  <si>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</si>
  <si>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</si>
  <si>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</si>
  <si>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</si>
  <si>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</si>
  <si>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</si>
  <si>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</si>
  <si>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</si>
  <si>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</si>
  <si>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</si>
  <si>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</si>
  <si>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</si>
  <si>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</si>
  <si>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</si>
  <si>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</si>
  <si>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</si>
  <si>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</si>
  <si>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</si>
  <si>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</si>
  <si>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</si>
  <si>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</si>
  <si>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</si>
  <si>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</si>
  <si>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</si>
  <si>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</si>
  <si>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</si>
  <si>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</si>
  <si>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</si>
  <si>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</si>
  <si>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</si>
  <si>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</si>
  <si>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</si>
  <si>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</si>
  <si>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</si>
  <si>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</si>
  <si>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</si>
  <si>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</si>
  <si>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</si>
  <si>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</si>
  <si>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</si>
  <si>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</si>
  <si>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</si>
  <si>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</si>
  <si>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</si>
  <si>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</si>
  <si>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</si>
  <si>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</si>
  <si>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</si>
  <si>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</si>
  <si>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</si>
  <si>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</si>
  <si>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</si>
  <si>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</si>
  <si>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</si>
  <si>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</si>
  <si>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</si>
  <si>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</si>
  <si>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</si>
  <si>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</si>
  <si>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</si>
  <si>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</si>
  <si>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</si>
  <si>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</si>
  <si>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</si>
  <si>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</si>
  <si>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</si>
  <si>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</si>
  <si>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</si>
  <si>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</si>
  <si>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</si>
  <si>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</si>
  <si>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</si>
  <si>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</si>
  <si>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</si>
  <si>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</si>
  <si>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</si>
  <si>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</si>
  <si>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</si>
  <si>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</si>
  <si>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</si>
  <si>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</si>
  <si>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</si>
  <si>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</si>
  <si>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</si>
  <si>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</si>
  <si>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</si>
  <si>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</si>
  <si>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</si>
  <si>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</si>
  <si>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</si>
  <si>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</si>
  <si>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</si>
  <si>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</si>
  <si>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</si>
  <si>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</si>
  <si>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</si>
  <si>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</si>
  <si>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</si>
  <si>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</si>
  <si>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</si>
  <si>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</si>
  <si>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</si>
  <si>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</si>
  <si>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</si>
  <si>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</si>
  <si>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</si>
  <si>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</si>
  <si>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</si>
  <si>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</si>
  <si>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</si>
  <si>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</si>
  <si>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</si>
  <si>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</si>
  <si>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</si>
  <si>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</si>
  <si>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</si>
  <si>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</si>
  <si>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</si>
  <si>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</si>
  <si>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</si>
  <si>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</si>
  <si>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</si>
  <si>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</si>
  <si>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</si>
  <si>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</si>
  <si>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</si>
  <si>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</si>
  <si>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</si>
  <si>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</si>
  <si>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</si>
  <si>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</si>
  <si>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</si>
  <si>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</si>
  <si>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</si>
  <si>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</si>
  <si>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</si>
  <si>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</si>
  <si>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</si>
  <si>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</si>
  <si>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</si>
  <si>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</si>
  <si>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</si>
  <si>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</si>
  <si>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</si>
  <si>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</si>
  <si>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</si>
  <si>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</si>
  <si>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</si>
  <si>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</si>
  <si>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</si>
  <si>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</si>
  <si>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</si>
  <si>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</si>
  <si>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</si>
  <si>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</si>
  <si>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</si>
  <si>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</si>
  <si>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</si>
  <si>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</si>
  <si>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</si>
  <si>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</si>
  <si>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</si>
  <si>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</si>
  <si>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</si>
  <si>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</si>
  <si>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</si>
  <si>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</si>
  <si>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</si>
  <si>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</si>
  <si>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</si>
  <si>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</si>
  <si>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</si>
  <si>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</si>
  <si>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</si>
  <si>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</si>
  <si>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</si>
  <si>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</si>
  <si>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</si>
  <si>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</si>
  <si>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</si>
  <si>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</si>
  <si>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</si>
  <si>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</si>
  <si>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</si>
  <si>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</si>
  <si>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</si>
  <si>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</si>
  <si>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</si>
  <si>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</si>
  <si>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</si>
  <si>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</si>
  <si>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</si>
  <si>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</si>
  <si>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</si>
  <si>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</si>
  <si>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</si>
  <si>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</si>
  <si>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</si>
  <si>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</si>
  <si>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</si>
  <si>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</si>
  <si>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</si>
  <si>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</si>
  <si>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</si>
  <si>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</si>
  <si>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</si>
  <si>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</si>
  <si>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</si>
  <si>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</si>
  <si>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</si>
  <si>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</si>
  <si>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</si>
  <si>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</si>
  <si>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</si>
  <si>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</si>
  <si>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</si>
  <si>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</si>
  <si>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</si>
  <si>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</si>
  <si>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</si>
  <si>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</si>
  <si>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</si>
  <si>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</si>
  <si>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</si>
  <si>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</si>
  <si>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</si>
  <si>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</si>
  <si>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</si>
  <si>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</si>
  <si>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</si>
  <si>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</si>
  <si>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</si>
  <si>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</si>
  <si>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</si>
  <si>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</si>
  <si>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</si>
  <si>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</si>
  <si>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</si>
  <si>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</si>
  <si>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</si>
  <si>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</si>
  <si>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</si>
  <si>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</si>
  <si>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</si>
  <si>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</si>
  <si>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</si>
  <si>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</si>
  <si>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</si>
  <si>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</si>
  <si>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</si>
  <si>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</si>
  <si>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</si>
  <si>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</si>
  <si>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</si>
  <si>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</si>
  <si>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</si>
  <si>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</si>
  <si>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</si>
  <si>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</si>
  <si>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</si>
  <si>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</si>
  <si>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</si>
  <si>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</si>
  <si>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</si>
  <si>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</si>
  <si>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</si>
  <si>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</si>
  <si>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</si>
  <si>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</si>
  <si>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</si>
  <si>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</si>
  <si>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</si>
  <si>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</si>
  <si>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</si>
  <si>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</si>
  <si>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</si>
  <si>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</si>
  <si>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</si>
  <si>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</si>
  <si>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</si>
  <si>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</si>
  <si>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</si>
  <si>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</si>
  <si>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</si>
  <si>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</si>
  <si>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</si>
  <si>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</si>
  <si>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</si>
  <si>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</si>
  <si>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</si>
  <si>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</si>
  <si>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</si>
  <si>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</si>
  <si>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</si>
  <si>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</si>
  <si>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</si>
  <si>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</si>
  <si>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</si>
  <si>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</si>
  <si>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</si>
  <si>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</si>
  <si>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</si>
  <si>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</si>
  <si>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</si>
  <si>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</si>
  <si>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</si>
  <si>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</si>
  <si>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</si>
  <si>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</si>
  <si>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</si>
  <si>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</si>
  <si>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</si>
  <si>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</si>
  <si>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</si>
  <si>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</si>
  <si>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</si>
  <si>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</si>
  <si>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</si>
  <si>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</si>
  <si>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</si>
  <si>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</si>
  <si>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</si>
  <si>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</si>
  <si>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</si>
  <si>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</si>
  <si>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</si>
  <si>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</si>
  <si>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</si>
  <si>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</si>
  <si>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</si>
  <si>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</si>
  <si>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</si>
  <si>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</si>
  <si>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</si>
  <si>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</si>
  <si>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</si>
  <si>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</si>
  <si>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</si>
  <si>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</si>
  <si>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</si>
  <si>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</si>
  <si>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</si>
  <si>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</si>
  <si>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</si>
  <si>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</si>
  <si>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</si>
  <si>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</si>
  <si>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</si>
  <si>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</si>
  <si>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</si>
  <si>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</si>
  <si>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</si>
  <si>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</si>
  <si>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</si>
  <si>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</si>
  <si>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</si>
  <si>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</si>
  <si>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</si>
  <si>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</si>
  <si>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</si>
  <si>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</si>
  <si>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</si>
  <si>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</si>
  <si>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</si>
  <si>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</si>
  <si>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</si>
  <si>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</si>
  <si>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</si>
  <si>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</si>
  <si>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</si>
  <si>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</si>
  <si>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</si>
  <si>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</si>
  <si>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</si>
  <si>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</si>
  <si>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</si>
  <si>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</si>
  <si>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</si>
  <si>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</si>
  <si>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</si>
  <si>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</si>
  <si>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</si>
  <si>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</si>
  <si>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</si>
  <si>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</si>
  <si>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</si>
  <si>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</si>
  <si>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</si>
  <si>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</si>
  <si>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</si>
  <si>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</si>
  <si>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</si>
  <si>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</si>
  <si>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</si>
  <si>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</si>
  <si>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</si>
  <si>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</si>
  <si>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</si>
  <si>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</si>
  <si>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</si>
  <si>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</si>
  <si>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</si>
  <si>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</si>
  <si>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</si>
  <si>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</si>
  <si>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</si>
  <si>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</si>
  <si>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</si>
  <si>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</si>
  <si>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</si>
  <si>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</si>
  <si>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</si>
  <si>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</si>
  <si>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</si>
  <si>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</si>
  <si>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</si>
  <si>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</si>
  <si>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</si>
  <si>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</si>
  <si>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</si>
  <si>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</si>
  <si>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</si>
  <si>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</si>
  <si>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</si>
  <si>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</si>
  <si>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</si>
  <si>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</si>
  <si>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</si>
  <si>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</si>
  <si>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</si>
  <si>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</si>
  <si>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</si>
  <si>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</si>
  <si>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</si>
  <si>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</si>
  <si>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</si>
  <si>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</si>
  <si>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</si>
  <si>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</si>
  <si>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</si>
  <si>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</si>
  <si>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</si>
  <si>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</si>
  <si>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</si>
  <si>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</si>
  <si>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</si>
  <si>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</si>
  <si>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</si>
  <si>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</si>
  <si>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</si>
  <si>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</si>
  <si>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</si>
  <si>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</si>
  <si>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</si>
  <si>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</si>
  <si>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</si>
  <si>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</si>
  <si>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</si>
  <si>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</si>
  <si>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</si>
  <si>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</si>
  <si>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</si>
  <si>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</si>
  <si>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</si>
  <si>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</si>
  <si>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</si>
  <si>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</si>
  <si>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</si>
  <si>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</si>
  <si>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</si>
  <si>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</si>
  <si>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</si>
  <si>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</si>
  <si>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</si>
  <si>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</si>
  <si>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</si>
  <si>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</si>
  <si>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</si>
  <si>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</si>
  <si>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</si>
  <si>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</si>
  <si>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</si>
  <si>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</si>
  <si>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</si>
  <si>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</si>
  <si>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</si>
  <si>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</si>
  <si>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</si>
  <si>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</si>
  <si>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</si>
  <si>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</si>
  <si>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</si>
  <si>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</si>
  <si>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</si>
  <si>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</si>
  <si>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</si>
  <si>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</si>
  <si>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</si>
  <si>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</si>
  <si>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</si>
  <si>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</si>
  <si>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</si>
  <si>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</si>
  <si>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</si>
  <si>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</si>
  <si>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</si>
  <si>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</si>
  <si>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</si>
  <si>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</si>
  <si>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</si>
  <si>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</si>
  <si>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</si>
  <si>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</si>
  <si>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</si>
  <si>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</si>
  <si>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</si>
  <si>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</si>
  <si>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</si>
  <si>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</si>
  <si>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</si>
  <si>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</si>
  <si>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</si>
  <si>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</si>
  <si>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</si>
  <si>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</si>
  <si>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</si>
  <si>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</si>
  <si>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</si>
  <si>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</si>
  <si>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</si>
  <si>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</si>
  <si>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</si>
  <si>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</si>
  <si>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</si>
  <si>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</si>
  <si>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</si>
  <si>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</si>
  <si>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</si>
  <si>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</si>
  <si>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</si>
  <si>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</si>
  <si>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</si>
  <si>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</si>
  <si>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</si>
  <si>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</si>
  <si>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</si>
  <si>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</si>
  <si>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</si>
  <si>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</si>
  <si>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</si>
  <si>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</si>
  <si>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</si>
  <si>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</si>
  <si>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</si>
  <si>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</si>
  <si>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</si>
  <si>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</si>
  <si>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</si>
  <si>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</si>
  <si>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</si>
  <si>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</si>
  <si>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</si>
  <si>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</si>
  <si>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</si>
  <si>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</si>
  <si>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</si>
  <si>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</si>
  <si>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</si>
  <si>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</si>
  <si>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</si>
  <si>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</si>
  <si>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</si>
  <si>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</si>
  <si>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</si>
  <si>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</si>
  <si>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</si>
  <si>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</si>
  <si>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</si>
  <si>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</si>
  <si>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</si>
  <si>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</si>
  <si>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</si>
  <si>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</si>
  <si>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</si>
  <si>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</si>
  <si>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</si>
  <si>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</si>
  <si>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</si>
  <si>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</si>
  <si>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</si>
  <si>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</si>
  <si>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</si>
  <si>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</si>
  <si>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</si>
  <si>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</si>
  <si>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</si>
  <si>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</si>
  <si>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</si>
  <si>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</si>
  <si>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</si>
  <si>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</si>
  <si>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</si>
  <si>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</si>
  <si>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</si>
  <si>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</si>
  <si>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</si>
  <si>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</si>
  <si>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</si>
  <si>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</si>
  <si>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</si>
  <si>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</si>
  <si>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Call Count</t>
  </si>
  <si>
    <t>Total Amount</t>
  </si>
  <si>
    <t>Total Duration</t>
  </si>
  <si>
    <t>Avg Rating</t>
  </si>
  <si>
    <t>No.of Happy callers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</si>
  <si>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</si>
  <si>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</si>
  <si>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</si>
  <si>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</si>
  <si>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</si>
  <si>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</si>
  <si>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</si>
  <si>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</si>
  <si>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</si>
  <si>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</si>
  <si>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</si>
  <si>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</si>
  <si>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</si>
  <si>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</si>
  <si>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</si>
  <si>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</si>
  <si>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</si>
  <si>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</si>
  <si>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</si>
  <si>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</si>
  <si>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</si>
  <si>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</si>
  <si>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</si>
  <si>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 xml:space="preserve">Reo </t>
  </si>
  <si>
    <t>Calls</t>
  </si>
  <si>
    <t>Amount</t>
  </si>
  <si>
    <t>Sel.Calls</t>
  </si>
  <si>
    <t>Sel.Amount</t>
  </si>
  <si>
    <t>selected rep</t>
  </si>
  <si>
    <t>Column Labels</t>
  </si>
  <si>
    <t>Rep summary</t>
  </si>
  <si>
    <t>%of calls</t>
  </si>
  <si>
    <t>calls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</si>
</sst>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409]d\-mmm\-yy;@"/>
    <numFmt numFmtId="165" formatCode="#,##0.0"/>
    <numFmt numFmtId="166" formatCode="&quot;₹&quot;\ #,##0;#,##0\ \-&quot;₹&quot;;&quot;₹&quot;\ #,##0"/>
    <numFmt numFmtId="167" formatCode="&quot;₹&quot;\ #,##0"/>
  </numFmts>
  <fonts count="8">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1"/>
      <name val="Aptos"/>
      <family val="2"/>
      <scheme val="minor"/>
    </font>
    <font>
      <sz val="10"/>
      <color rgb="FFFFC000"/>
      <name val="Aptos"/>
      <family val="2"/>
      <scheme val="minor"/>
    </font>
    <font>
      <b/>
      <sz val="11"/>
      <color theme="1"/>
      <name val="Aptos"/>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9"/>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49">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3" borderId="0" xfId="0" applyFill="1"/>
    <xf numFmtId="0" fontId="0" fillId="0" borderId="0" xfId="0" pivotButton="1"/>
    <xf numFmtId="0" fontId="0" fillId="0" borderId="0" xfId="0" applyAlignment="1">
      <alignment horizontal="left"/>
    </xf>
    <xf numFmtId="0" fontId="0" fillId="4" borderId="0" xfId="0" applyFill="1" applyAlignment="1">
      <alignment horizontal="left"/>
    </xf>
    <xf numFmtId="0" fontId="0" fillId="0" borderId="0" xfId="0" applyFill="1" applyAlignment="1">
      <alignment horizontal="left"/>
    </xf>
    <xf numFmtId="166"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NumberFormat="1"/>
    <xf numFmtId="0" fontId="0" fillId="0" borderId="0" xfId="0" applyAlignment="1">
      <alignment horizontal="left" indent="1"/>
    </xf>
    <xf numFmtId="0" fontId="5" fillId="5" borderId="0" xfId="0" applyFont="1" applyFill="1" applyBorder="1"/>
    <xf numFmtId="167" fontId="5" fillId="5" borderId="0" xfId="0" applyNumberFormat="1" applyFont="1" applyFill="1" applyBorder="1"/>
    <xf numFmtId="167" fontId="6" fillId="5" borderId="0" xfId="0" applyNumberFormat="1" applyFont="1" applyFill="1" applyBorder="1"/>
    <xf numFmtId="0" fontId="7" fillId="0" borderId="0" xfId="0" applyFont="1"/>
    <xf numFmtId="9" fontId="0" fillId="0" borderId="0" xfId="2" applyFont="1"/>
    <xf numFmtId="37" fontId="0" fillId="0" borderId="0" xfId="1" applyNumberFormat="1" applyFont="1"/>
    <xf numFmtId="0" fontId="0" fillId="3" borderId="0" xfId="0" applyFill="1" applyBorder="1"/>
    <xf numFmtId="167" fontId="0" fillId="0" borderId="0" xfId="0" applyNumberFormat="1"/>
    <xf numFmtId="166" fontId="0" fillId="0" borderId="0" xfId="0" applyNumberFormat="1"/>
  </cellXfs>
  <cellStyles count="3">
    <cellStyle name="Currency" xfId="1" builtinId="4"/>
    <cellStyle name="Normal" xfId="0" builtinId="0"/>
    <cellStyle name="Percent" xfId="2" builtinId="5"/>
  </cellStyles>
  <dxfs count="22">
    <dxf>
      <fill>
        <patternFill>
          <bgColor theme="9" tint="0.39994506668294322"/>
        </patternFill>
      </fill>
      <border>
        <left style="thin">
          <color theme="1"/>
        </left>
        <right style="thin">
          <color theme="1"/>
        </right>
        <top style="thin">
          <color theme="1"/>
        </top>
        <bottom style="thin">
          <color theme="1"/>
        </bottom>
        <vertical/>
        <horizontal/>
      </border>
    </dxf>
    <dxf>
      <fill>
        <patternFill>
          <bgColor theme="9" tint="0.59996337778862885"/>
        </patternFill>
      </fill>
      <border>
        <left style="thin">
          <color theme="1" tint="0.24994659260841701"/>
        </left>
        <right style="thin">
          <color theme="1" tint="0.24994659260841701"/>
        </right>
        <top style="thin">
          <color theme="1" tint="0.24994659260841701"/>
        </top>
        <bottom style="thin">
          <color theme="1" tint="0.24994659260841701"/>
        </bottom>
        <vertical/>
        <horizontal/>
      </border>
    </dxf>
    <dxf>
      <fill>
        <patternFill patternType="solid">
          <bgColor theme="9"/>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9"/>
        </bottom>
        <vertical/>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Light16">
    <tableStyle name="Slicer Style 1" pivot="0" table="0" count="1" xr9:uid="{25BABDA2-DB3D-41F6-98D0-3EE7CBB0176F}">
      <tableStyleElement type="wholeTable" dxfId="21"/>
    </tableStyle>
    <tableStyle name="SlicerStyleDark6 2" pivot="0" table="0" count="10" xr9:uid="{9F53B9CB-D694-42EE-BB20-7C5EBB828EE4}">
      <tableStyleElement type="wholeTable" dxfId="20"/>
      <tableStyleElement type="headerRow" dxfId="19"/>
    </tableStyle>
    <tableStyle name="SlicerStyleDark6 3" pivot="0" table="0" count="10" xr9:uid="{D038F7CC-10B8-44AB-892E-8687FA146CFC}">
      <tableStyleElement type="wholeTable" dxfId="18"/>
      <tableStyleElement type="headerRow" dxfId="17"/>
    </tableStyle>
  </tableStyles>
  <colors>
    <mruColors>
      <color rgb="FFFFFFF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theme="0" tint="-0.14996795556505021"/>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22/10/relationships/richValueRel" Target="richData/richValueRel.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^0 Asset Insights Dashboard.xlsx]Pivots!monthly trend</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FF0000"/>
                </a:solidFill>
              </a:rPr>
              <a:t>Call</a:t>
            </a:r>
            <a:r>
              <a:rPr lang="en-IN" sz="1800" b="1" baseline="0">
                <a:solidFill>
                  <a:srgbClr val="FF0000"/>
                </a:solidFill>
              </a:rPr>
              <a:t> Trend</a:t>
            </a:r>
            <a:endParaRPr lang="en-IN" sz="1800"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a:gsLst>
              <a:gs pos="0">
                <a:schemeClr val="accent6">
                  <a:lumMod val="60000"/>
                  <a:lumOff val="40000"/>
                </a:schemeClr>
              </a:gs>
              <a:gs pos="100000">
                <a:srgbClr val="FF0000"/>
              </a:gs>
            </a:gsLst>
            <a:lin ang="16200000" scaled="1"/>
          </a:gradFill>
          <a:ln>
            <a:noFill/>
          </a:ln>
          <a:effectLst/>
        </c:spPr>
        <c:marker>
          <c:symbol val="none"/>
        </c:marker>
      </c:pivotFmt>
      <c:pivotFmt>
        <c:idx val="5"/>
        <c:spPr>
          <a:ln w="28575" cap="rnd">
            <a:solidFill>
              <a:srgbClr val="FF0000"/>
            </a:solidFill>
            <a:round/>
          </a:ln>
          <a:effectLst/>
        </c:spPr>
        <c:marker>
          <c:symbol val="circle"/>
          <c:size val="7"/>
          <c:spPr>
            <a:solidFill>
              <a:schemeClr val="bg1"/>
            </a:solidFill>
            <a:ln w="25400">
              <a:solidFill>
                <a:schemeClr val="tx1"/>
              </a:solidFill>
            </a:ln>
            <a:effectLst/>
          </c:spPr>
        </c:marker>
      </c:pivotFmt>
    </c:pivotFmts>
    <c:plotArea>
      <c:layout/>
      <c:areaChart>
        <c:grouping val="standard"/>
        <c:varyColors val="0"/>
        <c:ser>
          <c:idx val="1"/>
          <c:order val="1"/>
          <c:tx>
            <c:strRef>
              <c:f>Pivots!$C$19</c:f>
              <c:strCache>
                <c:ptCount val="1"/>
                <c:pt idx="0">
                  <c:v>Call Count2</c:v>
                </c:pt>
              </c:strCache>
            </c:strRef>
          </c:tx>
          <c:spPr>
            <a:gradFill>
              <a:gsLst>
                <a:gs pos="0">
                  <a:schemeClr val="accent6">
                    <a:lumMod val="60000"/>
                    <a:lumOff val="40000"/>
                  </a:schemeClr>
                </a:gs>
                <a:gs pos="100000">
                  <a:srgbClr val="FF0000"/>
                </a:gs>
              </a:gsLst>
              <a:lin ang="16200000" scaled="1"/>
            </a:gradFill>
            <a:ln>
              <a:noFill/>
            </a:ln>
            <a:effectLst/>
          </c:spPr>
          <c:cat>
            <c:strRef>
              <c:f>Pivots!$A$20:$A$32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Pivots!$C$20:$C$32</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51DF-45FA-BC08-4DB8146ACCC7}"/>
            </c:ext>
          </c:extLst>
        </c:ser>
        <c:dLbls>
          <c:showLegendKey val="0"/>
          <c:showVal val="0"/>
          <c:showCatName val="0"/>
          <c:showSerName val="0"/>
          <c:showPercent val="0"/>
          <c:showBubbleSize val="0"/>
        </c:dLbls>
        <c:axId val="761646800"/>
        <c:axId val="1376921040"/>
      </c:areaChart>
      <c:lineChart>
        <c:grouping val="standard"/>
        <c:varyColors val="0"/>
        <c:ser>
          <c:idx val="0"/>
          <c:order val="0"/>
          <c:tx>
            <c:strRef>
              <c:f>Pivots!$B$19</c:f>
              <c:strCache>
                <c:ptCount val="1"/>
                <c:pt idx="0">
                  <c:v>Call Count</c:v>
                </c:pt>
              </c:strCache>
            </c:strRef>
          </c:tx>
          <c:spPr>
            <a:ln w="28575" cap="rnd">
              <a:solidFill>
                <a:srgbClr val="FF0000"/>
              </a:solidFill>
              <a:round/>
            </a:ln>
            <a:effectLst/>
          </c:spPr>
          <c:marker>
            <c:symbol val="circle"/>
            <c:size val="7"/>
            <c:spPr>
              <a:solidFill>
                <a:schemeClr val="bg1"/>
              </a:solidFill>
              <a:ln w="25400">
                <a:solidFill>
                  <a:schemeClr val="tx1"/>
                </a:solidFill>
              </a:ln>
              <a:effectLst/>
            </c:spPr>
          </c:marker>
          <c:cat>
            <c:strRef>
              <c:f>Pivots!$A$20:$A$32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Pivots!$B$20:$B$32</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51DF-45FA-BC08-4DB8146ACCC7}"/>
            </c:ext>
          </c:extLst>
        </c:ser>
        <c:dLbls>
          <c:showLegendKey val="0"/>
          <c:showVal val="0"/>
          <c:showCatName val="0"/>
          <c:showSerName val="0"/>
          <c:showPercent val="0"/>
          <c:showBubbleSize val="0"/>
        </c:dLbls>
        <c:marker val="1"/>
        <c:smooth val="0"/>
        <c:axId val="761646800"/>
        <c:axId val="1376921040"/>
      </c:lineChart>
      <c:catAx>
        <c:axId val="76164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921040"/>
        <c:crosses val="autoZero"/>
        <c:auto val="1"/>
        <c:lblAlgn val="ctr"/>
        <c:lblOffset val="100"/>
        <c:noMultiLvlLbl val="0"/>
      </c:catAx>
      <c:valAx>
        <c:axId val="1376921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646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rgbClr val="FF0000"/>
                </a:solidFill>
              </a:rPr>
              <a:t>Calls</a:t>
            </a:r>
          </a:p>
        </c:rich>
      </c:tx>
      <c:layout>
        <c:manualLayout>
          <c:xMode val="edge"/>
          <c:yMode val="edge"/>
          <c:x val="0.3024837857354683"/>
          <c:y val="2.02352977416929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7158229189365352E-2"/>
          <c:y val="0.11847771933052552"/>
          <c:w val="0.94025189578339619"/>
          <c:h val="0.85217963162267996"/>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Pivots!$L$7:$L$11</c:f>
              <c:strCache>
                <c:ptCount val="5"/>
                <c:pt idx="0">
                  <c:v>R01</c:v>
                </c:pt>
                <c:pt idx="1">
                  <c:v>R02</c:v>
                </c:pt>
                <c:pt idx="2">
                  <c:v>R03</c:v>
                </c:pt>
                <c:pt idx="3">
                  <c:v>R04</c:v>
                </c:pt>
                <c:pt idx="4">
                  <c:v>R05</c:v>
                </c:pt>
              </c:strCache>
            </c:strRef>
          </c:cat>
          <c:val>
            <c:numRef>
              <c:f>Pivots!$M$7:$M$11</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E3D6-4D30-A7FF-291800F5E68A}"/>
            </c:ext>
          </c:extLst>
        </c:ser>
        <c:ser>
          <c:idx val="1"/>
          <c:order val="1"/>
          <c:tx>
            <c:strRef>
              <c:f>Pivots!$O$6</c:f>
              <c:strCache>
                <c:ptCount val="1"/>
                <c:pt idx="0">
                  <c:v>Sel.Calls</c:v>
                </c:pt>
              </c:strCache>
            </c:strRef>
          </c:tx>
          <c:spPr>
            <a:gradFill flip="none" rotWithShape="1">
              <a:gsLst>
                <a:gs pos="0">
                  <a:schemeClr val="accent6">
                    <a:lumMod val="60000"/>
                    <a:lumOff val="40000"/>
                  </a:schemeClr>
                </a:gs>
                <a:gs pos="100000">
                  <a:srgbClr val="FF0000"/>
                </a:gs>
              </a:gsLst>
              <a:lin ang="189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Pivots!$O$7:$O$11</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E3D6-4D30-A7FF-291800F5E68A}"/>
            </c:ext>
          </c:extLst>
        </c:ser>
        <c:dLbls>
          <c:showLegendKey val="0"/>
          <c:showVal val="0"/>
          <c:showCatName val="0"/>
          <c:showSerName val="0"/>
          <c:showPercent val="0"/>
          <c:showBubbleSize val="0"/>
        </c:dLbls>
        <c:gapWidth val="25"/>
        <c:overlap val="100"/>
        <c:axId val="1384333744"/>
        <c:axId val="772507184"/>
      </c:barChart>
      <c:catAx>
        <c:axId val="1384333744"/>
        <c:scaling>
          <c:orientation val="maxMin"/>
        </c:scaling>
        <c:delete val="1"/>
        <c:axPos val="l"/>
        <c:numFmt formatCode="General" sourceLinked="1"/>
        <c:majorTickMark val="none"/>
        <c:minorTickMark val="none"/>
        <c:tickLblPos val="nextTo"/>
        <c:crossAx val="772507184"/>
        <c:crosses val="autoZero"/>
        <c:auto val="1"/>
        <c:lblAlgn val="ctr"/>
        <c:lblOffset val="100"/>
        <c:noMultiLvlLbl val="0"/>
      </c:catAx>
      <c:valAx>
        <c:axId val="772507184"/>
        <c:scaling>
          <c:orientation val="minMax"/>
          <c:min val="0"/>
        </c:scaling>
        <c:delete val="1"/>
        <c:axPos val="t"/>
        <c:numFmt formatCode="General" sourceLinked="1"/>
        <c:majorTickMark val="none"/>
        <c:minorTickMark val="none"/>
        <c:tickLblPos val="nextTo"/>
        <c:crossAx val="138433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accent1">
                    <a:lumMod val="50000"/>
                  </a:schemeClr>
                </a:solidFill>
              </a:rPr>
              <a:t>Amoun</a:t>
            </a:r>
            <a:r>
              <a:rPr lang="en-IN" sz="1800" b="1">
                <a:solidFill>
                  <a:schemeClr val="accent1">
                    <a:lumMod val="50000"/>
                  </a:schemeClr>
                </a:solidFill>
              </a:rPr>
              <a:t>t</a:t>
            </a:r>
          </a:p>
        </c:rich>
      </c:tx>
      <c:layout>
        <c:manualLayout>
          <c:xMode val="edge"/>
          <c:yMode val="edge"/>
          <c:x val="0.27332929604733597"/>
          <c:y val="2.55173647133630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2743970122070008E-2"/>
          <c:y val="0.12091478489675712"/>
          <c:w val="0.89451205975586001"/>
          <c:h val="0.84256012390816903"/>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Pivots!$L$7:$L$11</c:f>
              <c:strCache>
                <c:ptCount val="5"/>
                <c:pt idx="0">
                  <c:v>R01</c:v>
                </c:pt>
                <c:pt idx="1">
                  <c:v>R02</c:v>
                </c:pt>
                <c:pt idx="2">
                  <c:v>R03</c:v>
                </c:pt>
                <c:pt idx="3">
                  <c:v>R04</c:v>
                </c:pt>
                <c:pt idx="4">
                  <c:v>R05</c:v>
                </c:pt>
              </c:strCache>
            </c:strRef>
          </c:cat>
          <c:val>
            <c:numRef>
              <c:f>Pivots!$N$7:$N$11</c:f>
              <c:numCache>
                <c:formatCode>"₹"\ #,##0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53D6-4DB7-B0C0-8234DECEC245}"/>
            </c:ext>
          </c:extLst>
        </c:ser>
        <c:ser>
          <c:idx val="1"/>
          <c:order val="1"/>
          <c:tx>
            <c:strRef>
              <c:f>Pivots!$P$6</c:f>
              <c:strCache>
                <c:ptCount val="1"/>
                <c:pt idx="0">
                  <c:v>Sel.Amount</c:v>
                </c:pt>
              </c:strCache>
            </c:strRef>
          </c:tx>
          <c:spPr>
            <a:gradFill flip="none" rotWithShape="1">
              <a:gsLst>
                <a:gs pos="0">
                  <a:schemeClr val="accent1">
                    <a:lumMod val="60000"/>
                    <a:lumOff val="40000"/>
                  </a:schemeClr>
                </a:gs>
                <a:gs pos="100000">
                  <a:schemeClr val="accent1">
                    <a:lumMod val="75000"/>
                  </a:schemeClr>
                </a:gs>
              </a:gsLst>
              <a:lin ang="18900000" scaled="1"/>
              <a:tileRect/>
            </a:gradFill>
            <a:ln>
              <a:noFill/>
            </a:ln>
            <a:effectLst/>
          </c:spPr>
          <c:invertIfNegative val="0"/>
          <c:dLbls>
            <c:delete val="1"/>
          </c:dLbls>
          <c:val>
            <c:numRef>
              <c:f>Pivots!$P$7:$P$11</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53D6-4DB7-B0C0-8234DECEC245}"/>
            </c:ext>
          </c:extLst>
        </c:ser>
        <c:dLbls>
          <c:dLblPos val="outEnd"/>
          <c:showLegendKey val="0"/>
          <c:showVal val="1"/>
          <c:showCatName val="0"/>
          <c:showSerName val="0"/>
          <c:showPercent val="0"/>
          <c:showBubbleSize val="0"/>
        </c:dLbls>
        <c:gapWidth val="25"/>
        <c:overlap val="100"/>
        <c:axId val="1384333744"/>
        <c:axId val="772507184"/>
      </c:barChart>
      <c:catAx>
        <c:axId val="1384333744"/>
        <c:scaling>
          <c:orientation val="maxMin"/>
        </c:scaling>
        <c:delete val="1"/>
        <c:axPos val="l"/>
        <c:numFmt formatCode="General" sourceLinked="1"/>
        <c:majorTickMark val="none"/>
        <c:minorTickMark val="none"/>
        <c:tickLblPos val="nextTo"/>
        <c:crossAx val="772507184"/>
        <c:crosses val="autoZero"/>
        <c:auto val="1"/>
        <c:lblAlgn val="ctr"/>
        <c:lblOffset val="100"/>
        <c:noMultiLvlLbl val="0"/>
      </c:catAx>
      <c:valAx>
        <c:axId val="772507184"/>
        <c:scaling>
          <c:orientation val="minMax"/>
        </c:scaling>
        <c:delete val="1"/>
        <c:axPos val="t"/>
        <c:numFmt formatCode="&quot;₹&quot;\ #,##0" sourceLinked="1"/>
        <c:majorTickMark val="none"/>
        <c:minorTickMark val="none"/>
        <c:tickLblPos val="nextTo"/>
        <c:crossAx val="138433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^0 Asset Insights Dashboard.xlsx]Pivots!PivotTable1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FF0000"/>
                </a:solidFill>
              </a:rPr>
              <a:t>Female</a:t>
            </a:r>
            <a:r>
              <a:rPr lang="en-IN" sz="1600" b="1" baseline="0"/>
              <a:t> VS  </a:t>
            </a:r>
            <a:r>
              <a:rPr lang="en-IN" sz="1600" b="1" baseline="0">
                <a:solidFill>
                  <a:schemeClr val="accent4">
                    <a:lumMod val="75000"/>
                  </a:schemeClr>
                </a:solidFill>
              </a:rPr>
              <a:t>Male</a:t>
            </a:r>
            <a:r>
              <a:rPr lang="en-IN" sz="1600" b="1" baseline="0"/>
              <a:t> Callers</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solidFill>
          <a:ln>
            <a:noFill/>
          </a:ln>
          <a:effectLst/>
        </c:spPr>
        <c:marker>
          <c:symbol val="none"/>
        </c:marker>
        <c:dLbl>
          <c:idx val="0"/>
          <c:spPr>
            <a:solidFill>
              <a:srgbClr val="FF0000">
                <a:alpha val="50000"/>
              </a:srgb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
        <c:idx val="5"/>
        <c:spPr>
          <a:solidFill>
            <a:schemeClr val="accent4">
              <a:lumMod val="75000"/>
            </a:schemeClr>
          </a:solidFill>
          <a:ln>
            <a:noFill/>
          </a:ln>
          <a:effectLst/>
        </c:spPr>
        <c:marker>
          <c:symbol val="none"/>
        </c:marker>
        <c:dLbl>
          <c:idx val="0"/>
          <c:spPr>
            <a:solidFill>
              <a:schemeClr val="accent4">
                <a:lumMod val="7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s>
    <c:plotArea>
      <c:layout/>
      <c:barChart>
        <c:barDir val="col"/>
        <c:grouping val="percentStacked"/>
        <c:varyColors val="0"/>
        <c:ser>
          <c:idx val="0"/>
          <c:order val="0"/>
          <c:tx>
            <c:strRef>
              <c:f>Pivots!$B$39:$B$40</c:f>
              <c:strCache>
                <c:ptCount val="1"/>
                <c:pt idx="0">
                  <c:v>Female</c:v>
                </c:pt>
              </c:strCache>
            </c:strRef>
          </c:tx>
          <c:spPr>
            <a:solidFill>
              <a:schemeClr val="accent6"/>
            </a:solidFill>
            <a:ln>
              <a:noFill/>
            </a:ln>
            <a:effectLst/>
          </c:spPr>
          <c:invertIfNegative val="0"/>
          <c:dLbls>
            <c:spPr>
              <a:solidFill>
                <a:srgbClr val="FF0000">
                  <a:alpha val="50000"/>
                </a:srgb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Pivots!$A$41:$A$44</c:f>
              <c:strCache>
                <c:ptCount val="3"/>
                <c:pt idx="0">
                  <c:v>Cincinnati</c:v>
                </c:pt>
                <c:pt idx="1">
                  <c:v>Cleveland</c:v>
                </c:pt>
                <c:pt idx="2">
                  <c:v>Columbus</c:v>
                </c:pt>
              </c:strCache>
            </c:strRef>
          </c:cat>
          <c:val>
            <c:numRef>
              <c:f>Pivots!$B$41:$B$44</c:f>
              <c:numCache>
                <c:formatCode>#,##0</c:formatCode>
                <c:ptCount val="3"/>
                <c:pt idx="0">
                  <c:v>144</c:v>
                </c:pt>
                <c:pt idx="1">
                  <c:v>326</c:v>
                </c:pt>
                <c:pt idx="2">
                  <c:v>129</c:v>
                </c:pt>
              </c:numCache>
            </c:numRef>
          </c:val>
          <c:extLst>
            <c:ext xmlns:c16="http://schemas.microsoft.com/office/drawing/2014/chart" uri="{C3380CC4-5D6E-409C-BE32-E72D297353CC}">
              <c16:uniqueId val="{00000000-72B5-44D6-B9F0-9B71CBE5035D}"/>
            </c:ext>
          </c:extLst>
        </c:ser>
        <c:ser>
          <c:idx val="1"/>
          <c:order val="1"/>
          <c:tx>
            <c:strRef>
              <c:f>Pivots!$C$39:$C$40</c:f>
              <c:strCache>
                <c:ptCount val="1"/>
                <c:pt idx="0">
                  <c:v>Male</c:v>
                </c:pt>
              </c:strCache>
            </c:strRef>
          </c:tx>
          <c:spPr>
            <a:solidFill>
              <a:schemeClr val="accent4">
                <a:lumMod val="75000"/>
              </a:schemeClr>
            </a:solidFill>
            <a:ln>
              <a:noFill/>
            </a:ln>
            <a:effectLst/>
          </c:spPr>
          <c:invertIfNegative val="0"/>
          <c:dLbls>
            <c:spPr>
              <a:solidFill>
                <a:schemeClr val="accent4">
                  <a:lumMod val="7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Pivots!$A$41:$A$44</c:f>
              <c:strCache>
                <c:ptCount val="3"/>
                <c:pt idx="0">
                  <c:v>Cincinnati</c:v>
                </c:pt>
                <c:pt idx="1">
                  <c:v>Cleveland</c:v>
                </c:pt>
                <c:pt idx="2">
                  <c:v>Columbus</c:v>
                </c:pt>
              </c:strCache>
            </c:strRef>
          </c:cat>
          <c:val>
            <c:numRef>
              <c:f>Pivots!$C$41:$C$44</c:f>
              <c:numCache>
                <c:formatCode>#,##0</c:formatCode>
                <c:ptCount val="3"/>
                <c:pt idx="0">
                  <c:v>132</c:v>
                </c:pt>
                <c:pt idx="1">
                  <c:v>63</c:v>
                </c:pt>
                <c:pt idx="2">
                  <c:v>206</c:v>
                </c:pt>
              </c:numCache>
            </c:numRef>
          </c:val>
          <c:extLst>
            <c:ext xmlns:c16="http://schemas.microsoft.com/office/drawing/2014/chart" uri="{C3380CC4-5D6E-409C-BE32-E72D297353CC}">
              <c16:uniqueId val="{00000001-72B5-44D6-B9F0-9B71CBE5035D}"/>
            </c:ext>
          </c:extLst>
        </c:ser>
        <c:dLbls>
          <c:dLblPos val="ctr"/>
          <c:showLegendKey val="0"/>
          <c:showVal val="1"/>
          <c:showCatName val="0"/>
          <c:showSerName val="0"/>
          <c:showPercent val="0"/>
          <c:showBubbleSize val="0"/>
        </c:dLbls>
        <c:gapWidth val="25"/>
        <c:overlap val="100"/>
        <c:axId val="1841894416"/>
        <c:axId val="1475103296"/>
      </c:barChart>
      <c:catAx>
        <c:axId val="184189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103296"/>
        <c:crosses val="autoZero"/>
        <c:auto val="1"/>
        <c:lblAlgn val="ctr"/>
        <c:lblOffset val="100"/>
        <c:noMultiLvlLbl val="0"/>
      </c:catAx>
      <c:valAx>
        <c:axId val="1475103296"/>
        <c:scaling>
          <c:orientation val="minMax"/>
        </c:scaling>
        <c:delete val="1"/>
        <c:axPos val="l"/>
        <c:numFmt formatCode="0%" sourceLinked="1"/>
        <c:majorTickMark val="none"/>
        <c:minorTickMark val="none"/>
        <c:tickLblPos val="nextTo"/>
        <c:crossAx val="1841894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^0 Asset Insights Dashboard.xlsx]Pivots!rep satisfaction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5"/>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0000"/>
          </a:solidFill>
          <a:ln>
            <a:noFill/>
          </a:ln>
          <a:effectLst/>
        </c:spPr>
        <c:marker>
          <c:symbol val="none"/>
        </c:marker>
      </c:pivotFmt>
    </c:pivotFmts>
    <c:plotArea>
      <c:layout/>
      <c:barChart>
        <c:barDir val="col"/>
        <c:grouping val="clustered"/>
        <c:varyColors val="0"/>
        <c:ser>
          <c:idx val="0"/>
          <c:order val="0"/>
          <c:tx>
            <c:strRef>
              <c:f>Pivots!$B$48</c:f>
              <c:strCache>
                <c:ptCount val="1"/>
                <c:pt idx="0">
                  <c:v>Total</c:v>
                </c:pt>
              </c:strCache>
            </c:strRef>
          </c:tx>
          <c:spPr>
            <a:solidFill>
              <a:srgbClr val="FF0000"/>
            </a:solidFill>
            <a:ln>
              <a:noFill/>
            </a:ln>
            <a:effectLst/>
          </c:spPr>
          <c:invertIfNegative val="0"/>
          <c:cat>
            <c:strRef>
              <c:f>Pivots!$A$49:$A$55</c:f>
              <c:strCache>
                <c:ptCount val="6"/>
                <c:pt idx="0">
                  <c:v>0</c:v>
                </c:pt>
                <c:pt idx="1">
                  <c:v>1</c:v>
                </c:pt>
                <c:pt idx="2">
                  <c:v>2</c:v>
                </c:pt>
                <c:pt idx="3">
                  <c:v>3</c:v>
                </c:pt>
                <c:pt idx="4">
                  <c:v>4</c:v>
                </c:pt>
                <c:pt idx="5">
                  <c:v>5</c:v>
                </c:pt>
              </c:strCache>
            </c:strRef>
          </c:cat>
          <c:val>
            <c:numRef>
              <c:f>Pivots!$B$49:$B$55</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BEAF-405A-936A-E98DED0469D2}"/>
            </c:ext>
          </c:extLst>
        </c:ser>
        <c:dLbls>
          <c:showLegendKey val="0"/>
          <c:showVal val="0"/>
          <c:showCatName val="0"/>
          <c:showSerName val="0"/>
          <c:showPercent val="0"/>
          <c:showBubbleSize val="0"/>
        </c:dLbls>
        <c:gapWidth val="25"/>
        <c:overlap val="-27"/>
        <c:axId val="1601006368"/>
        <c:axId val="1722074144"/>
      </c:barChart>
      <c:catAx>
        <c:axId val="1601006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074144"/>
        <c:crosses val="autoZero"/>
        <c:auto val="1"/>
        <c:lblAlgn val="ctr"/>
        <c:lblOffset val="100"/>
        <c:noMultiLvlLbl val="0"/>
      </c:catAx>
      <c:valAx>
        <c:axId val="1722074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006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^0 Asset Insights Dashboard.xlsx]Pivots!weekly trend</c:name>
    <c:fmtId val="1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Pivots!$F$19</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Pivots!$E$20:$E$27</c:f>
              <c:strCache>
                <c:ptCount val="7"/>
                <c:pt idx="0">
                  <c:v>Sunday</c:v>
                </c:pt>
                <c:pt idx="1">
                  <c:v>Monday</c:v>
                </c:pt>
                <c:pt idx="2">
                  <c:v>Tuesday</c:v>
                </c:pt>
                <c:pt idx="3">
                  <c:v>Wednesday</c:v>
                </c:pt>
                <c:pt idx="4">
                  <c:v>Thursday</c:v>
                </c:pt>
                <c:pt idx="5">
                  <c:v>Friday</c:v>
                </c:pt>
                <c:pt idx="6">
                  <c:v>Saturday</c:v>
                </c:pt>
              </c:strCache>
            </c:strRef>
          </c:cat>
          <c:val>
            <c:numRef>
              <c:f>Pivots!$F$20:$F$27</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037B-43DF-8B65-C7B8D3907015}"/>
            </c:ext>
          </c:extLst>
        </c:ser>
        <c:dLbls>
          <c:dLblPos val="outEnd"/>
          <c:showLegendKey val="0"/>
          <c:showVal val="1"/>
          <c:showCatName val="0"/>
          <c:showSerName val="0"/>
          <c:showPercent val="0"/>
          <c:showBubbleSize val="0"/>
        </c:dLbls>
        <c:gapWidth val="25"/>
        <c:axId val="761632784"/>
        <c:axId val="1384292064"/>
      </c:barChart>
      <c:catAx>
        <c:axId val="7616327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292064"/>
        <c:crosses val="autoZero"/>
        <c:auto val="1"/>
        <c:lblAlgn val="ctr"/>
        <c:lblOffset val="100"/>
        <c:noMultiLvlLbl val="0"/>
      </c:catAx>
      <c:valAx>
        <c:axId val="1384292064"/>
        <c:scaling>
          <c:orientation val="minMax"/>
        </c:scaling>
        <c:delete val="1"/>
        <c:axPos val="t"/>
        <c:numFmt formatCode="#,##0" sourceLinked="1"/>
        <c:majorTickMark val="none"/>
        <c:minorTickMark val="none"/>
        <c:tickLblPos val="nextTo"/>
        <c:crossAx val="761632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4.svg"/><Relationship Id="rId3" Type="http://schemas.openxmlformats.org/officeDocument/2006/relationships/image" Target="../media/image5.png"/><Relationship Id="rId7" Type="http://schemas.openxmlformats.org/officeDocument/2006/relationships/image" Target="../media/image13.png"/><Relationship Id="rId12" Type="http://schemas.openxmlformats.org/officeDocument/2006/relationships/image" Target="../media/image8.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0" Type="http://schemas.openxmlformats.org/officeDocument/2006/relationships/image" Target="../media/image2.svg"/><Relationship Id="rId4" Type="http://schemas.openxmlformats.org/officeDocument/2006/relationships/image" Target="../media/image6.svg"/><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10346</xdr:colOff>
      <xdr:row>1</xdr:row>
      <xdr:rowOff>152870</xdr:rowOff>
    </xdr:from>
    <xdr:to>
      <xdr:col>4</xdr:col>
      <xdr:colOff>270463</xdr:colOff>
      <xdr:row>8</xdr:row>
      <xdr:rowOff>155063</xdr:rowOff>
    </xdr:to>
    <xdr:sp macro="" textlink="Pivots!A4">
      <xdr:nvSpPr>
        <xdr:cNvPr id="4" name="Rectangle 3">
          <a:extLst>
            <a:ext uri="{FF2B5EF4-FFF2-40B4-BE49-F238E27FC236}">
              <a16:creationId xmlns:a16="http://schemas.microsoft.com/office/drawing/2014/main" id="{070F5725-FCE4-46A1-BEA5-175A7F86258C}"/>
            </a:ext>
          </a:extLst>
        </xdr:cNvPr>
        <xdr:cNvSpPr/>
      </xdr:nvSpPr>
      <xdr:spPr>
        <a:xfrm>
          <a:off x="421920" y="329259"/>
          <a:ext cx="1577154" cy="1236915"/>
        </a:xfrm>
        <a:prstGeom prst="rect">
          <a:avLst/>
        </a:prstGeom>
        <a:solidFill>
          <a:srgbClr val="FF0000"/>
        </a:solidFill>
        <a:effectLst>
          <a:outerShdw blurRad="254000" dist="1270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69044E3-3B5D-4857-B4F3-3252070592D2}" type="TxLink">
            <a:rPr lang="en-US" sz="2000" b="1" i="0" u="none" strike="noStrike">
              <a:solidFill>
                <a:schemeClr val="bg1"/>
              </a:solidFill>
              <a:latin typeface="Aptos"/>
            </a:rPr>
            <a:pPr algn="ctr"/>
            <a:t>1,000</a:t>
          </a:fld>
          <a:endParaRPr lang="en-US" sz="2000" b="1">
            <a:solidFill>
              <a:schemeClr val="bg1"/>
            </a:solidFill>
          </a:endParaRPr>
        </a:p>
      </xdr:txBody>
    </xdr:sp>
    <xdr:clientData/>
  </xdr:twoCellAnchor>
  <xdr:oneCellAnchor>
    <xdr:from>
      <xdr:col>2</xdr:col>
      <xdr:colOff>272074</xdr:colOff>
      <xdr:row>2</xdr:row>
      <xdr:rowOff>160288</xdr:rowOff>
    </xdr:from>
    <xdr:ext cx="1003300" cy="264560"/>
    <xdr:sp macro="" textlink="">
      <xdr:nvSpPr>
        <xdr:cNvPr id="5" name="TextBox 4">
          <a:extLst>
            <a:ext uri="{FF2B5EF4-FFF2-40B4-BE49-F238E27FC236}">
              <a16:creationId xmlns:a16="http://schemas.microsoft.com/office/drawing/2014/main" id="{E67BF920-3BBD-4E56-87BB-8282C9582B5E}"/>
            </a:ext>
          </a:extLst>
        </xdr:cNvPr>
        <xdr:cNvSpPr txBox="1"/>
      </xdr:nvSpPr>
      <xdr:spPr>
        <a:xfrm>
          <a:off x="683648" y="513066"/>
          <a:ext cx="10033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a:solidFill>
                <a:schemeClr val="bg1"/>
              </a:solidFill>
            </a:rPr>
            <a:t>Calls</a:t>
          </a:r>
        </a:p>
      </xdr:txBody>
    </xdr:sp>
    <xdr:clientData/>
  </xdr:oneCellAnchor>
  <xdr:twoCellAnchor editAs="oneCell">
    <xdr:from>
      <xdr:col>2</xdr:col>
      <xdr:colOff>202711</xdr:colOff>
      <xdr:row>4</xdr:row>
      <xdr:rowOff>136168</xdr:rowOff>
    </xdr:from>
    <xdr:to>
      <xdr:col>2</xdr:col>
      <xdr:colOff>393211</xdr:colOff>
      <xdr:row>5</xdr:row>
      <xdr:rowOff>134614</xdr:rowOff>
    </xdr:to>
    <xdr:pic>
      <xdr:nvPicPr>
        <xdr:cNvPr id="7" name="Graphic 6" descr="Receiver with solid fill">
          <a:extLst>
            <a:ext uri="{FF2B5EF4-FFF2-40B4-BE49-F238E27FC236}">
              <a16:creationId xmlns:a16="http://schemas.microsoft.com/office/drawing/2014/main" id="{4BB6D516-0DCE-41B4-9603-ED6F06D02AF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4285" y="841724"/>
          <a:ext cx="190500" cy="174834"/>
        </a:xfrm>
        <a:prstGeom prst="rect">
          <a:avLst/>
        </a:prstGeom>
      </xdr:spPr>
    </xdr:pic>
    <xdr:clientData/>
  </xdr:twoCellAnchor>
  <xdr:twoCellAnchor>
    <xdr:from>
      <xdr:col>2</xdr:col>
      <xdr:colOff>590676</xdr:colOff>
      <xdr:row>6</xdr:row>
      <xdr:rowOff>92679</xdr:rowOff>
    </xdr:from>
    <xdr:to>
      <xdr:col>3</xdr:col>
      <xdr:colOff>355726</xdr:colOff>
      <xdr:row>7</xdr:row>
      <xdr:rowOff>118079</xdr:rowOff>
    </xdr:to>
    <xdr:sp macro="" textlink="Pivots!A14">
      <xdr:nvSpPr>
        <xdr:cNvPr id="6" name="TextBox 5">
          <a:extLst>
            <a:ext uri="{FF2B5EF4-FFF2-40B4-BE49-F238E27FC236}">
              <a16:creationId xmlns:a16="http://schemas.microsoft.com/office/drawing/2014/main" id="{0623EEB6-A011-4E62-9518-60ACF1F95336}"/>
            </a:ext>
          </a:extLst>
        </xdr:cNvPr>
        <xdr:cNvSpPr txBox="1"/>
      </xdr:nvSpPr>
      <xdr:spPr>
        <a:xfrm>
          <a:off x="1002250" y="1151012"/>
          <a:ext cx="423569" cy="201789"/>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DF8582-06EE-4251-84E4-B8E6358B2914}" type="TxLink">
            <a:rPr lang="en-US" sz="1100" b="0" i="0" u="none" strike="noStrike">
              <a:solidFill>
                <a:schemeClr val="bg1"/>
              </a:solidFill>
              <a:latin typeface="Aptos"/>
            </a:rPr>
            <a:pPr algn="ctr"/>
            <a:t>207</a:t>
          </a:fld>
          <a:endParaRPr lang="en-IN" sz="1100">
            <a:solidFill>
              <a:schemeClr val="bg1"/>
            </a:solidFill>
          </a:endParaRPr>
        </a:p>
      </xdr:txBody>
    </xdr:sp>
    <xdr:clientData/>
  </xdr:twoCellAnchor>
  <xdr:twoCellAnchor>
    <xdr:from>
      <xdr:col>2</xdr:col>
      <xdr:colOff>0</xdr:colOff>
      <xdr:row>10</xdr:row>
      <xdr:rowOff>105833</xdr:rowOff>
    </xdr:from>
    <xdr:to>
      <xdr:col>4</xdr:col>
      <xdr:colOff>199909</xdr:colOff>
      <xdr:row>17</xdr:row>
      <xdr:rowOff>146538</xdr:rowOff>
    </xdr:to>
    <xdr:sp macro="" textlink="Pivots!B4">
      <xdr:nvSpPr>
        <xdr:cNvPr id="33" name="Rectangle 32">
          <a:extLst>
            <a:ext uri="{FF2B5EF4-FFF2-40B4-BE49-F238E27FC236}">
              <a16:creationId xmlns:a16="http://schemas.microsoft.com/office/drawing/2014/main" id="{291A86B6-6989-4500-8270-9AE14ED27B64}"/>
            </a:ext>
          </a:extLst>
        </xdr:cNvPr>
        <xdr:cNvSpPr/>
      </xdr:nvSpPr>
      <xdr:spPr>
        <a:xfrm>
          <a:off x="411574" y="1869722"/>
          <a:ext cx="1516946" cy="1275427"/>
        </a:xfrm>
        <a:prstGeom prst="rect">
          <a:avLst/>
        </a:prstGeom>
        <a:solidFill>
          <a:srgbClr val="FF0000"/>
        </a:solidFill>
        <a:effectLst>
          <a:outerShdw blurRad="254000" dist="1270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0AD4911-3E51-47D1-9BC2-B2F3C178F4CC}" type="TxLink">
            <a:rPr lang="en-US" sz="2000" b="1" i="0" u="none" strike="noStrike">
              <a:solidFill>
                <a:schemeClr val="bg1"/>
              </a:solidFill>
              <a:latin typeface="Aptos"/>
              <a:ea typeface="+mn-ea"/>
              <a:cs typeface="+mn-cs"/>
            </a:rPr>
            <a:pPr marL="0" indent="0" algn="ctr"/>
            <a:t>₹ 96,623</a:t>
          </a:fld>
          <a:endParaRPr lang="en-US" sz="2000" b="1" i="0" u="none" strike="noStrike">
            <a:solidFill>
              <a:schemeClr val="bg1"/>
            </a:solidFill>
            <a:latin typeface="Aptos"/>
            <a:ea typeface="+mn-ea"/>
            <a:cs typeface="+mn-cs"/>
          </a:endParaRPr>
        </a:p>
      </xdr:txBody>
    </xdr:sp>
    <xdr:clientData/>
  </xdr:twoCellAnchor>
  <xdr:oneCellAnchor>
    <xdr:from>
      <xdr:col>2</xdr:col>
      <xdr:colOff>305886</xdr:colOff>
      <xdr:row>11</xdr:row>
      <xdr:rowOff>108745</xdr:rowOff>
    </xdr:from>
    <xdr:ext cx="1003300" cy="264560"/>
    <xdr:sp macro="" textlink="">
      <xdr:nvSpPr>
        <xdr:cNvPr id="34" name="TextBox 33">
          <a:extLst>
            <a:ext uri="{FF2B5EF4-FFF2-40B4-BE49-F238E27FC236}">
              <a16:creationId xmlns:a16="http://schemas.microsoft.com/office/drawing/2014/main" id="{1473D8BE-2366-4367-BA72-2F0D206F004E}"/>
            </a:ext>
          </a:extLst>
        </xdr:cNvPr>
        <xdr:cNvSpPr txBox="1"/>
      </xdr:nvSpPr>
      <xdr:spPr>
        <a:xfrm>
          <a:off x="717460" y="2049023"/>
          <a:ext cx="10033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a:solidFill>
                <a:schemeClr val="bg1"/>
              </a:solidFill>
            </a:rPr>
            <a:t>Total</a:t>
          </a:r>
          <a:r>
            <a:rPr lang="en-IN" sz="1100" baseline="0">
              <a:solidFill>
                <a:schemeClr val="bg1"/>
              </a:solidFill>
            </a:rPr>
            <a:t> Amount</a:t>
          </a:r>
          <a:endParaRPr lang="en-IN" sz="1100">
            <a:solidFill>
              <a:schemeClr val="bg1"/>
            </a:solidFill>
          </a:endParaRPr>
        </a:p>
      </xdr:txBody>
    </xdr:sp>
    <xdr:clientData/>
  </xdr:oneCellAnchor>
  <xdr:twoCellAnchor>
    <xdr:from>
      <xdr:col>2</xdr:col>
      <xdr:colOff>416703</xdr:colOff>
      <xdr:row>15</xdr:row>
      <xdr:rowOff>119718</xdr:rowOff>
    </xdr:from>
    <xdr:to>
      <xdr:col>3</xdr:col>
      <xdr:colOff>515994</xdr:colOff>
      <xdr:row>17</xdr:row>
      <xdr:rowOff>6216</xdr:rowOff>
    </xdr:to>
    <xdr:sp macro="" textlink="Pivots!B14">
      <xdr:nvSpPr>
        <xdr:cNvPr id="36" name="TextBox 35">
          <a:extLst>
            <a:ext uri="{FF2B5EF4-FFF2-40B4-BE49-F238E27FC236}">
              <a16:creationId xmlns:a16="http://schemas.microsoft.com/office/drawing/2014/main" id="{FF704DB4-858A-4688-B702-57CFC8B4C896}"/>
            </a:ext>
          </a:extLst>
        </xdr:cNvPr>
        <xdr:cNvSpPr txBox="1"/>
      </xdr:nvSpPr>
      <xdr:spPr>
        <a:xfrm>
          <a:off x="827011" y="2757410"/>
          <a:ext cx="763598" cy="238191"/>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F5009A8-6C63-4785-B1A4-5642035717C5}" type="TxLink">
            <a:rPr lang="en-US" sz="1100" b="0" i="0" u="none" strike="noStrike">
              <a:solidFill>
                <a:schemeClr val="bg1"/>
              </a:solidFill>
              <a:latin typeface="Aptos"/>
              <a:ea typeface="+mn-ea"/>
              <a:cs typeface="+mn-cs"/>
            </a:rPr>
            <a:pPr marL="0" indent="0" algn="ctr"/>
            <a:t>₹ 20,872</a:t>
          </a:fld>
          <a:endParaRPr lang="en-IN" sz="1100" b="0" i="0" u="none" strike="noStrike">
            <a:solidFill>
              <a:schemeClr val="bg1"/>
            </a:solidFill>
            <a:latin typeface="Aptos"/>
            <a:ea typeface="+mn-ea"/>
            <a:cs typeface="+mn-cs"/>
          </a:endParaRPr>
        </a:p>
      </xdr:txBody>
    </xdr:sp>
    <xdr:clientData/>
  </xdr:twoCellAnchor>
  <xdr:twoCellAnchor>
    <xdr:from>
      <xdr:col>2</xdr:col>
      <xdr:colOff>19538</xdr:colOff>
      <xdr:row>19</xdr:row>
      <xdr:rowOff>66607</xdr:rowOff>
    </xdr:from>
    <xdr:to>
      <xdr:col>4</xdr:col>
      <xdr:colOff>224692</xdr:colOff>
      <xdr:row>25</xdr:row>
      <xdr:rowOff>68383</xdr:rowOff>
    </xdr:to>
    <xdr:sp macro="" textlink="Pivots!E4">
      <xdr:nvSpPr>
        <xdr:cNvPr id="37" name="Rectangle 36">
          <a:extLst>
            <a:ext uri="{FF2B5EF4-FFF2-40B4-BE49-F238E27FC236}">
              <a16:creationId xmlns:a16="http://schemas.microsoft.com/office/drawing/2014/main" id="{0024455F-6F3D-4957-9220-43CA4376FB8F}"/>
            </a:ext>
          </a:extLst>
        </xdr:cNvPr>
        <xdr:cNvSpPr/>
      </xdr:nvSpPr>
      <xdr:spPr>
        <a:xfrm>
          <a:off x="429846" y="3407684"/>
          <a:ext cx="1533769" cy="1056853"/>
        </a:xfrm>
        <a:prstGeom prst="rect">
          <a:avLst/>
        </a:prstGeom>
        <a:solidFill>
          <a:srgbClr val="FF0000"/>
        </a:solidFill>
        <a:effectLst>
          <a:outerShdw blurRad="254000" dist="1270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2F4F6BC-F0A1-4B9B-952A-7AA4D0D23675}" type="TxLink">
            <a:rPr lang="en-US" sz="2000" b="1" i="0" u="none" strike="noStrike">
              <a:solidFill>
                <a:schemeClr val="bg1"/>
              </a:solidFill>
              <a:latin typeface="Aptos"/>
              <a:ea typeface="+mn-ea"/>
              <a:cs typeface="+mn-cs"/>
            </a:rPr>
            <a:pPr marL="0" indent="0" algn="ctr"/>
            <a:t>89,850</a:t>
          </a:fld>
          <a:endParaRPr lang="en-US" sz="2000" b="1" i="0" u="none" strike="noStrike">
            <a:solidFill>
              <a:schemeClr val="bg1"/>
            </a:solidFill>
            <a:latin typeface="Aptos"/>
            <a:ea typeface="+mn-ea"/>
            <a:cs typeface="+mn-cs"/>
          </a:endParaRPr>
        </a:p>
      </xdr:txBody>
    </xdr:sp>
    <xdr:clientData/>
  </xdr:twoCellAnchor>
  <xdr:oneCellAnchor>
    <xdr:from>
      <xdr:col>2</xdr:col>
      <xdr:colOff>262829</xdr:colOff>
      <xdr:row>20</xdr:row>
      <xdr:rowOff>99403</xdr:rowOff>
    </xdr:from>
    <xdr:ext cx="1003300" cy="264560"/>
    <xdr:sp macro="" textlink="">
      <xdr:nvSpPr>
        <xdr:cNvPr id="38" name="TextBox 37">
          <a:extLst>
            <a:ext uri="{FF2B5EF4-FFF2-40B4-BE49-F238E27FC236}">
              <a16:creationId xmlns:a16="http://schemas.microsoft.com/office/drawing/2014/main" id="{108BC313-9850-4FD7-9CC4-BCAA4ED3233D}"/>
            </a:ext>
          </a:extLst>
        </xdr:cNvPr>
        <xdr:cNvSpPr txBox="1"/>
      </xdr:nvSpPr>
      <xdr:spPr>
        <a:xfrm>
          <a:off x="674403" y="3627181"/>
          <a:ext cx="10033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a:solidFill>
                <a:schemeClr val="bg1"/>
              </a:solidFill>
            </a:rPr>
            <a:t>Duration</a:t>
          </a:r>
        </a:p>
      </xdr:txBody>
    </xdr:sp>
    <xdr:clientData/>
  </xdr:oneCellAnchor>
  <xdr:twoCellAnchor>
    <xdr:from>
      <xdr:col>2</xdr:col>
      <xdr:colOff>410486</xdr:colOff>
      <xdr:row>23</xdr:row>
      <xdr:rowOff>39786</xdr:rowOff>
    </xdr:from>
    <xdr:to>
      <xdr:col>3</xdr:col>
      <xdr:colOff>405868</xdr:colOff>
      <xdr:row>24</xdr:row>
      <xdr:rowOff>90587</xdr:rowOff>
    </xdr:to>
    <xdr:sp macro="" textlink="Pivots!E14">
      <xdr:nvSpPr>
        <xdr:cNvPr id="40" name="TextBox 39">
          <a:extLst>
            <a:ext uri="{FF2B5EF4-FFF2-40B4-BE49-F238E27FC236}">
              <a16:creationId xmlns:a16="http://schemas.microsoft.com/office/drawing/2014/main" id="{DB87431A-DA8F-4941-9AAE-B1F96632310F}"/>
            </a:ext>
          </a:extLst>
        </xdr:cNvPr>
        <xdr:cNvSpPr txBox="1"/>
      </xdr:nvSpPr>
      <xdr:spPr>
        <a:xfrm>
          <a:off x="820794" y="4084248"/>
          <a:ext cx="659689" cy="226647"/>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444FBF5-3D6F-4247-A15C-43AC286114FF}" type="TxLink">
            <a:rPr lang="en-US" sz="1100" b="0" i="0" u="none" strike="noStrike">
              <a:solidFill>
                <a:schemeClr val="bg1"/>
              </a:solidFill>
              <a:latin typeface="Aptos"/>
              <a:ea typeface="+mn-ea"/>
              <a:cs typeface="+mn-cs"/>
            </a:rPr>
            <a:pPr marL="0" indent="0" algn="ctr"/>
            <a:t>17,700</a:t>
          </a:fld>
          <a:endParaRPr lang="en-IN" sz="1100" b="0" i="0" u="none" strike="noStrike">
            <a:solidFill>
              <a:schemeClr val="bg1"/>
            </a:solidFill>
            <a:latin typeface="Aptos"/>
            <a:ea typeface="+mn-ea"/>
            <a:cs typeface="+mn-cs"/>
          </a:endParaRPr>
        </a:p>
      </xdr:txBody>
    </xdr:sp>
    <xdr:clientData/>
  </xdr:twoCellAnchor>
  <xdr:twoCellAnchor>
    <xdr:from>
      <xdr:col>2</xdr:col>
      <xdr:colOff>20426</xdr:colOff>
      <xdr:row>26</xdr:row>
      <xdr:rowOff>116342</xdr:rowOff>
    </xdr:from>
    <xdr:to>
      <xdr:col>4</xdr:col>
      <xdr:colOff>273538</xdr:colOff>
      <xdr:row>32</xdr:row>
      <xdr:rowOff>78154</xdr:rowOff>
    </xdr:to>
    <xdr:sp macro="" textlink="Pivots!D4">
      <xdr:nvSpPr>
        <xdr:cNvPr id="41" name="Rectangle 40">
          <a:extLst>
            <a:ext uri="{FF2B5EF4-FFF2-40B4-BE49-F238E27FC236}">
              <a16:creationId xmlns:a16="http://schemas.microsoft.com/office/drawing/2014/main" id="{504FF31E-5E1B-4581-A90A-FCF53CA629F3}"/>
            </a:ext>
          </a:extLst>
        </xdr:cNvPr>
        <xdr:cNvSpPr/>
      </xdr:nvSpPr>
      <xdr:spPr>
        <a:xfrm>
          <a:off x="430734" y="4688342"/>
          <a:ext cx="1581727" cy="1016889"/>
        </a:xfrm>
        <a:prstGeom prst="rect">
          <a:avLst/>
        </a:prstGeom>
        <a:solidFill>
          <a:srgbClr val="FF0000"/>
        </a:solidFill>
        <a:effectLst>
          <a:outerShdw blurRad="254000" dist="1270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FD40D78-3425-4AEB-BF71-1B1B7CBE9D6F}" type="TxLink">
            <a:rPr lang="en-US" sz="2000" b="1" i="0" u="none" strike="noStrike">
              <a:solidFill>
                <a:schemeClr val="bg1"/>
              </a:solidFill>
              <a:latin typeface="Aptos"/>
              <a:ea typeface="+mn-ea"/>
              <a:cs typeface="+mn-cs"/>
            </a:rPr>
            <a:pPr marL="0" indent="0" algn="ctr"/>
            <a:t>3.9</a:t>
          </a:fld>
          <a:endParaRPr lang="en-US" sz="2000" b="1" i="0" u="none" strike="noStrike">
            <a:solidFill>
              <a:schemeClr val="bg1"/>
            </a:solidFill>
            <a:latin typeface="Aptos"/>
            <a:ea typeface="+mn-ea"/>
            <a:cs typeface="+mn-cs"/>
          </a:endParaRPr>
        </a:p>
      </xdr:txBody>
    </xdr:sp>
    <xdr:clientData/>
  </xdr:twoCellAnchor>
  <xdr:oneCellAnchor>
    <xdr:from>
      <xdr:col>2</xdr:col>
      <xdr:colOff>301692</xdr:colOff>
      <xdr:row>27</xdr:row>
      <xdr:rowOff>40492</xdr:rowOff>
    </xdr:from>
    <xdr:ext cx="1003300" cy="253592"/>
    <xdr:sp macro="" textlink="">
      <xdr:nvSpPr>
        <xdr:cNvPr id="42" name="TextBox 41">
          <a:extLst>
            <a:ext uri="{FF2B5EF4-FFF2-40B4-BE49-F238E27FC236}">
              <a16:creationId xmlns:a16="http://schemas.microsoft.com/office/drawing/2014/main" id="{325313AC-A5D3-43C0-88CB-81D339175D4F}"/>
            </a:ext>
          </a:extLst>
        </xdr:cNvPr>
        <xdr:cNvSpPr txBox="1"/>
      </xdr:nvSpPr>
      <xdr:spPr>
        <a:xfrm>
          <a:off x="713266" y="5214566"/>
          <a:ext cx="1003300" cy="253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a:solidFill>
                <a:schemeClr val="bg1"/>
              </a:solidFill>
            </a:rPr>
            <a:t>Avg.Rating</a:t>
          </a:r>
        </a:p>
      </xdr:txBody>
    </xdr:sp>
    <xdr:clientData/>
  </xdr:oneCellAnchor>
  <xdr:twoCellAnchor>
    <xdr:from>
      <xdr:col>2</xdr:col>
      <xdr:colOff>602317</xdr:colOff>
      <xdr:row>30</xdr:row>
      <xdr:rowOff>69309</xdr:rowOff>
    </xdr:from>
    <xdr:to>
      <xdr:col>3</xdr:col>
      <xdr:colOff>367367</xdr:colOff>
      <xdr:row>31</xdr:row>
      <xdr:rowOff>94710</xdr:rowOff>
    </xdr:to>
    <xdr:sp macro="" textlink="Pivots!D14">
      <xdr:nvSpPr>
        <xdr:cNvPr id="44" name="TextBox 43">
          <a:extLst>
            <a:ext uri="{FF2B5EF4-FFF2-40B4-BE49-F238E27FC236}">
              <a16:creationId xmlns:a16="http://schemas.microsoft.com/office/drawing/2014/main" id="{D3C9D233-D689-40B7-9198-CFEE1ED99859}"/>
            </a:ext>
          </a:extLst>
        </xdr:cNvPr>
        <xdr:cNvSpPr txBox="1"/>
      </xdr:nvSpPr>
      <xdr:spPr>
        <a:xfrm>
          <a:off x="1013891" y="5925420"/>
          <a:ext cx="423569" cy="272346"/>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0BF3832-2F31-4EF1-9B52-68418B45CD5A}" type="TxLink">
            <a:rPr lang="en-US" sz="1100" b="0" i="0" u="none" strike="noStrike">
              <a:solidFill>
                <a:schemeClr val="bg1"/>
              </a:solidFill>
              <a:latin typeface="Aptos"/>
              <a:ea typeface="+mn-ea"/>
              <a:cs typeface="+mn-cs"/>
            </a:rPr>
            <a:pPr marL="0" indent="0" algn="ctr"/>
            <a:t>3.9</a:t>
          </a:fld>
          <a:endParaRPr lang="en-IN" sz="1100" b="0" i="0" u="none" strike="noStrike">
            <a:solidFill>
              <a:schemeClr val="bg1"/>
            </a:solidFill>
            <a:latin typeface="Aptos"/>
            <a:ea typeface="+mn-ea"/>
            <a:cs typeface="+mn-cs"/>
          </a:endParaRPr>
        </a:p>
      </xdr:txBody>
    </xdr:sp>
    <xdr:clientData/>
  </xdr:twoCellAnchor>
  <xdr:twoCellAnchor>
    <xdr:from>
      <xdr:col>2</xdr:col>
      <xdr:colOff>21315</xdr:colOff>
      <xdr:row>33</xdr:row>
      <xdr:rowOff>81900</xdr:rowOff>
    </xdr:from>
    <xdr:to>
      <xdr:col>4</xdr:col>
      <xdr:colOff>283308</xdr:colOff>
      <xdr:row>39</xdr:row>
      <xdr:rowOff>117231</xdr:rowOff>
    </xdr:to>
    <xdr:sp macro="" textlink="Pivots!C4">
      <xdr:nvSpPr>
        <xdr:cNvPr id="45" name="Rectangle 44">
          <a:extLst>
            <a:ext uri="{FF2B5EF4-FFF2-40B4-BE49-F238E27FC236}">
              <a16:creationId xmlns:a16="http://schemas.microsoft.com/office/drawing/2014/main" id="{7F1E2595-CC2F-47BA-A2FF-9E31520EECAC}"/>
            </a:ext>
          </a:extLst>
        </xdr:cNvPr>
        <xdr:cNvSpPr/>
      </xdr:nvSpPr>
      <xdr:spPr>
        <a:xfrm>
          <a:off x="431623" y="5884823"/>
          <a:ext cx="1590608" cy="1090408"/>
        </a:xfrm>
        <a:prstGeom prst="rect">
          <a:avLst/>
        </a:prstGeom>
        <a:solidFill>
          <a:srgbClr val="FF0000"/>
        </a:solidFill>
        <a:effectLst>
          <a:outerShdw blurRad="254000" dist="1270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1D96E74-1681-4BCF-9612-E1ED291CE485}" type="TxLink">
            <a:rPr lang="en-US" sz="2000" b="1" i="0" u="none" strike="noStrike">
              <a:solidFill>
                <a:schemeClr val="bg1"/>
              </a:solidFill>
              <a:latin typeface="Aptos"/>
              <a:ea typeface="+mn-ea"/>
              <a:cs typeface="+mn-cs"/>
            </a:rPr>
            <a:pPr marL="0" indent="0" algn="ctr"/>
            <a:t>307</a:t>
          </a:fld>
          <a:endParaRPr lang="en-US" sz="2000" b="1" i="0" u="none" strike="noStrike">
            <a:solidFill>
              <a:schemeClr val="bg1"/>
            </a:solidFill>
            <a:latin typeface="Aptos"/>
            <a:ea typeface="+mn-ea"/>
            <a:cs typeface="+mn-cs"/>
          </a:endParaRPr>
        </a:p>
      </xdr:txBody>
    </xdr:sp>
    <xdr:clientData/>
  </xdr:twoCellAnchor>
  <xdr:oneCellAnchor>
    <xdr:from>
      <xdr:col>2</xdr:col>
      <xdr:colOff>69006</xdr:colOff>
      <xdr:row>34</xdr:row>
      <xdr:rowOff>10446</xdr:rowOff>
    </xdr:from>
    <xdr:ext cx="1525155" cy="264560"/>
    <xdr:sp macro="" textlink="">
      <xdr:nvSpPr>
        <xdr:cNvPr id="46" name="TextBox 45">
          <a:extLst>
            <a:ext uri="{FF2B5EF4-FFF2-40B4-BE49-F238E27FC236}">
              <a16:creationId xmlns:a16="http://schemas.microsoft.com/office/drawing/2014/main" id="{A1F2ACEE-0BE5-4F76-B7BE-89D24A7F4EA0}"/>
            </a:ext>
          </a:extLst>
        </xdr:cNvPr>
        <xdr:cNvSpPr txBox="1"/>
      </xdr:nvSpPr>
      <xdr:spPr>
        <a:xfrm>
          <a:off x="480580" y="6795539"/>
          <a:ext cx="15251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a:solidFill>
                <a:schemeClr val="bg1"/>
              </a:solidFill>
            </a:rPr>
            <a:t>Happy</a:t>
          </a:r>
          <a:r>
            <a:rPr lang="en-IN" sz="1100" baseline="0">
              <a:solidFill>
                <a:schemeClr val="bg1"/>
              </a:solidFill>
            </a:rPr>
            <a:t> Customers</a:t>
          </a:r>
          <a:endParaRPr lang="en-IN" sz="1100">
            <a:solidFill>
              <a:schemeClr val="bg1"/>
            </a:solidFill>
          </a:endParaRPr>
        </a:p>
      </xdr:txBody>
    </xdr:sp>
    <xdr:clientData/>
  </xdr:oneCellAnchor>
  <xdr:twoCellAnchor>
    <xdr:from>
      <xdr:col>2</xdr:col>
      <xdr:colOff>619192</xdr:colOff>
      <xdr:row>37</xdr:row>
      <xdr:rowOff>110195</xdr:rowOff>
    </xdr:from>
    <xdr:to>
      <xdr:col>3</xdr:col>
      <xdr:colOff>384242</xdr:colOff>
      <xdr:row>38</xdr:row>
      <xdr:rowOff>135595</xdr:rowOff>
    </xdr:to>
    <xdr:sp macro="" textlink="Pivots!C14">
      <xdr:nvSpPr>
        <xdr:cNvPr id="48" name="TextBox 47">
          <a:extLst>
            <a:ext uri="{FF2B5EF4-FFF2-40B4-BE49-F238E27FC236}">
              <a16:creationId xmlns:a16="http://schemas.microsoft.com/office/drawing/2014/main" id="{01FB42C7-28E5-4269-B6E3-A1EE6FCABEA9}"/>
            </a:ext>
          </a:extLst>
        </xdr:cNvPr>
        <xdr:cNvSpPr txBox="1"/>
      </xdr:nvSpPr>
      <xdr:spPr>
        <a:xfrm>
          <a:off x="1030766" y="7565565"/>
          <a:ext cx="423569" cy="225308"/>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9B8CFB1-CBB4-4BE3-A1C8-91810B07B603}" type="TxLink">
            <a:rPr lang="en-US" sz="1100" b="0" i="0" u="none" strike="noStrike">
              <a:solidFill>
                <a:schemeClr val="bg1"/>
              </a:solidFill>
              <a:latin typeface="Aptos"/>
              <a:ea typeface="+mn-ea"/>
              <a:cs typeface="+mn-cs"/>
            </a:rPr>
            <a:pPr marL="0" indent="0" algn="ctr"/>
            <a:t>60</a:t>
          </a:fld>
          <a:endParaRPr lang="en-IN" sz="1100" b="0" i="0" u="none" strike="noStrike">
            <a:solidFill>
              <a:schemeClr val="bg1"/>
            </a:solidFill>
            <a:latin typeface="Aptos"/>
            <a:ea typeface="+mn-ea"/>
            <a:cs typeface="+mn-cs"/>
          </a:endParaRPr>
        </a:p>
      </xdr:txBody>
    </xdr:sp>
    <xdr:clientData/>
  </xdr:twoCellAnchor>
  <xdr:twoCellAnchor editAs="oneCell">
    <xdr:from>
      <xdr:col>2</xdr:col>
      <xdr:colOff>75490</xdr:colOff>
      <xdr:row>13</xdr:row>
      <xdr:rowOff>95917</xdr:rowOff>
    </xdr:from>
    <xdr:to>
      <xdr:col>2</xdr:col>
      <xdr:colOff>280795</xdr:colOff>
      <xdr:row>14</xdr:row>
      <xdr:rowOff>107462</xdr:rowOff>
    </xdr:to>
    <xdr:pic>
      <xdr:nvPicPr>
        <xdr:cNvPr id="22" name="Graphic 21" descr="Shopping cart with solid fill">
          <a:extLst>
            <a:ext uri="{FF2B5EF4-FFF2-40B4-BE49-F238E27FC236}">
              <a16:creationId xmlns:a16="http://schemas.microsoft.com/office/drawing/2014/main" id="{60F5D762-722A-4A58-9348-92710A47D4F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85798" y="2381917"/>
          <a:ext cx="205305" cy="187391"/>
        </a:xfrm>
        <a:prstGeom prst="rect">
          <a:avLst/>
        </a:prstGeom>
      </xdr:spPr>
    </xdr:pic>
    <xdr:clientData/>
  </xdr:twoCellAnchor>
  <xdr:twoCellAnchor editAs="oneCell">
    <xdr:from>
      <xdr:col>2</xdr:col>
      <xdr:colOff>100091</xdr:colOff>
      <xdr:row>21</xdr:row>
      <xdr:rowOff>103598</xdr:rowOff>
    </xdr:from>
    <xdr:to>
      <xdr:col>2</xdr:col>
      <xdr:colOff>339377</xdr:colOff>
      <xdr:row>22</xdr:row>
      <xdr:rowOff>104618</xdr:rowOff>
    </xdr:to>
    <xdr:pic>
      <xdr:nvPicPr>
        <xdr:cNvPr id="23" name="Graphic 22" descr="Hourglass Finished with solid fill">
          <a:extLst>
            <a:ext uri="{FF2B5EF4-FFF2-40B4-BE49-F238E27FC236}">
              <a16:creationId xmlns:a16="http://schemas.microsoft.com/office/drawing/2014/main" id="{8A18D0E8-61C5-4F9F-84A3-3322A39B332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10399" y="3796367"/>
          <a:ext cx="239286" cy="235662"/>
        </a:xfrm>
        <a:prstGeom prst="rect">
          <a:avLst/>
        </a:prstGeom>
      </xdr:spPr>
    </xdr:pic>
    <xdr:clientData/>
  </xdr:twoCellAnchor>
  <xdr:twoCellAnchor editAs="oneCell">
    <xdr:from>
      <xdr:col>2</xdr:col>
      <xdr:colOff>198938</xdr:colOff>
      <xdr:row>28</xdr:row>
      <xdr:rowOff>58615</xdr:rowOff>
    </xdr:from>
    <xdr:to>
      <xdr:col>2</xdr:col>
      <xdr:colOff>498334</xdr:colOff>
      <xdr:row>29</xdr:row>
      <xdr:rowOff>94634</xdr:rowOff>
    </xdr:to>
    <xdr:pic>
      <xdr:nvPicPr>
        <xdr:cNvPr id="24" name="Graphic 23" descr="Rating Star with solid fill">
          <a:extLst>
            <a:ext uri="{FF2B5EF4-FFF2-40B4-BE49-F238E27FC236}">
              <a16:creationId xmlns:a16="http://schemas.microsoft.com/office/drawing/2014/main" id="{9D3EA007-5066-44BF-AD09-7FC170B956B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609246" y="4982307"/>
          <a:ext cx="299396" cy="282420"/>
        </a:xfrm>
        <a:prstGeom prst="rect">
          <a:avLst/>
        </a:prstGeom>
      </xdr:spPr>
    </xdr:pic>
    <xdr:clientData/>
  </xdr:twoCellAnchor>
  <xdr:twoCellAnchor editAs="oneCell">
    <xdr:from>
      <xdr:col>2</xdr:col>
      <xdr:colOff>184728</xdr:colOff>
      <xdr:row>35</xdr:row>
      <xdr:rowOff>52400</xdr:rowOff>
    </xdr:from>
    <xdr:to>
      <xdr:col>2</xdr:col>
      <xdr:colOff>438728</xdr:colOff>
      <xdr:row>36</xdr:row>
      <xdr:rowOff>58079</xdr:rowOff>
    </xdr:to>
    <xdr:pic>
      <xdr:nvPicPr>
        <xdr:cNvPr id="25" name="Graphic 24" descr="Star-struck face outline with solid fill">
          <a:extLst>
            <a:ext uri="{FF2B5EF4-FFF2-40B4-BE49-F238E27FC236}">
              <a16:creationId xmlns:a16="http://schemas.microsoft.com/office/drawing/2014/main" id="{1D84B70B-E5F6-4A43-B74F-3FEA74CBDB2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95036" y="6207015"/>
          <a:ext cx="254000" cy="240322"/>
        </a:xfrm>
        <a:prstGeom prst="rect">
          <a:avLst/>
        </a:prstGeom>
        <a:effectLst>
          <a:outerShdw blurRad="254000" dist="127000" dir="2700000" algn="tl" rotWithShape="0">
            <a:prstClr val="black">
              <a:alpha val="40000"/>
            </a:prstClr>
          </a:outerShdw>
        </a:effectLst>
      </xdr:spPr>
    </xdr:pic>
    <xdr:clientData/>
  </xdr:twoCellAnchor>
  <xdr:twoCellAnchor>
    <xdr:from>
      <xdr:col>5</xdr:col>
      <xdr:colOff>0</xdr:colOff>
      <xdr:row>2</xdr:row>
      <xdr:rowOff>152870</xdr:rowOff>
    </xdr:from>
    <xdr:to>
      <xdr:col>12</xdr:col>
      <xdr:colOff>446235</xdr:colOff>
      <xdr:row>20</xdr:row>
      <xdr:rowOff>152870</xdr:rowOff>
    </xdr:to>
    <xdr:graphicFrame macro="">
      <xdr:nvGraphicFramePr>
        <xdr:cNvPr id="28" name="Chart 27">
          <a:extLst>
            <a:ext uri="{FF2B5EF4-FFF2-40B4-BE49-F238E27FC236}">
              <a16:creationId xmlns:a16="http://schemas.microsoft.com/office/drawing/2014/main" id="{DE7D58A4-99E5-485C-943C-CD9C6797A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15119</xdr:colOff>
      <xdr:row>20</xdr:row>
      <xdr:rowOff>305741</xdr:rowOff>
    </xdr:from>
    <xdr:to>
      <xdr:col>12</xdr:col>
      <xdr:colOff>531629</xdr:colOff>
      <xdr:row>39</xdr:row>
      <xdr:rowOff>11759</xdr:rowOff>
    </xdr:to>
    <xdr:sp macro="" textlink="">
      <xdr:nvSpPr>
        <xdr:cNvPr id="2" name="Rectangle 1">
          <a:extLst>
            <a:ext uri="{FF2B5EF4-FFF2-40B4-BE49-F238E27FC236}">
              <a16:creationId xmlns:a16="http://schemas.microsoft.com/office/drawing/2014/main" id="{F16D6D60-A007-4FBC-86E0-3792DC838574}"/>
            </a:ext>
          </a:extLst>
        </xdr:cNvPr>
        <xdr:cNvSpPr/>
      </xdr:nvSpPr>
      <xdr:spPr>
        <a:xfrm>
          <a:off x="2402249" y="3833519"/>
          <a:ext cx="5126139" cy="4080462"/>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211667</xdr:colOff>
      <xdr:row>21</xdr:row>
      <xdr:rowOff>35278</xdr:rowOff>
    </xdr:from>
    <xdr:to>
      <xdr:col>8</xdr:col>
      <xdr:colOff>605466</xdr:colOff>
      <xdr:row>38</xdr:row>
      <xdr:rowOff>117592</xdr:rowOff>
    </xdr:to>
    <xdr:graphicFrame macro="">
      <xdr:nvGraphicFramePr>
        <xdr:cNvPr id="26" name="Chart 25">
          <a:extLst>
            <a:ext uri="{FF2B5EF4-FFF2-40B4-BE49-F238E27FC236}">
              <a16:creationId xmlns:a16="http://schemas.microsoft.com/office/drawing/2014/main" id="{1474AF27-B459-4902-951D-700B62522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349147</xdr:colOff>
      <xdr:row>21</xdr:row>
      <xdr:rowOff>47036</xdr:rowOff>
    </xdr:from>
    <xdr:to>
      <xdr:col>12</xdr:col>
      <xdr:colOff>339652</xdr:colOff>
      <xdr:row>38</xdr:row>
      <xdr:rowOff>94073</xdr:rowOff>
    </xdr:to>
    <xdr:graphicFrame macro="">
      <xdr:nvGraphicFramePr>
        <xdr:cNvPr id="30" name="Chart 29">
          <a:extLst>
            <a:ext uri="{FF2B5EF4-FFF2-40B4-BE49-F238E27FC236}">
              <a16:creationId xmlns:a16="http://schemas.microsoft.com/office/drawing/2014/main" id="{93694140-7FE2-4357-855D-FBB7AB243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16</xdr:col>
      <xdr:colOff>729075</xdr:colOff>
      <xdr:row>3</xdr:row>
      <xdr:rowOff>0</xdr:rowOff>
    </xdr:from>
    <xdr:to>
      <xdr:col>20</xdr:col>
      <xdr:colOff>11760</xdr:colOff>
      <xdr:row>20</xdr:row>
      <xdr:rowOff>199907</xdr:rowOff>
    </xdr:to>
    <mc:AlternateContent xmlns:mc="http://schemas.openxmlformats.org/markup-compatibility/2006" xmlns:a14="http://schemas.microsoft.com/office/drawing/2010/main">
      <mc:Choice Requires="a14">
        <xdr:graphicFrame macro="">
          <xdr:nvGraphicFramePr>
            <xdr:cNvPr id="27" name="Representative">
              <a:extLst>
                <a:ext uri="{FF2B5EF4-FFF2-40B4-BE49-F238E27FC236}">
                  <a16:creationId xmlns:a16="http://schemas.microsoft.com/office/drawing/2014/main" id="{F5D1331C-9665-4836-8764-3981ADAB9B16}"/>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11124640" y="522339"/>
              <a:ext cx="3072201" cy="3159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164630</xdr:colOff>
      <xdr:row>3</xdr:row>
      <xdr:rowOff>11759</xdr:rowOff>
    </xdr:from>
    <xdr:to>
      <xdr:col>24</xdr:col>
      <xdr:colOff>246944</xdr:colOff>
      <xdr:row>20</xdr:row>
      <xdr:rowOff>188148</xdr:rowOff>
    </xdr:to>
    <xdr:graphicFrame macro="">
      <xdr:nvGraphicFramePr>
        <xdr:cNvPr id="31" name="Chart 30">
          <a:extLst>
            <a:ext uri="{FF2B5EF4-FFF2-40B4-BE49-F238E27FC236}">
              <a16:creationId xmlns:a16="http://schemas.microsoft.com/office/drawing/2014/main" id="{96D554D5-0B74-4314-962F-078191078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152871</xdr:colOff>
      <xdr:row>20</xdr:row>
      <xdr:rowOff>305742</xdr:rowOff>
    </xdr:from>
    <xdr:to>
      <xdr:col>24</xdr:col>
      <xdr:colOff>285937</xdr:colOff>
      <xdr:row>39</xdr:row>
      <xdr:rowOff>0</xdr:rowOff>
    </xdr:to>
    <xdr:graphicFrame macro="">
      <xdr:nvGraphicFramePr>
        <xdr:cNvPr id="32" name="Chart 31">
          <a:extLst>
            <a:ext uri="{FF2B5EF4-FFF2-40B4-BE49-F238E27FC236}">
              <a16:creationId xmlns:a16="http://schemas.microsoft.com/office/drawing/2014/main" id="{E446B154-5F1D-45DB-81C8-7FA8D00C1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348073</xdr:colOff>
      <xdr:row>2</xdr:row>
      <xdr:rowOff>152870</xdr:rowOff>
    </xdr:from>
    <xdr:to>
      <xdr:col>16</xdr:col>
      <xdr:colOff>591490</xdr:colOff>
      <xdr:row>20</xdr:row>
      <xdr:rowOff>141111</xdr:rowOff>
    </xdr:to>
    <xdr:graphicFrame macro="">
      <xdr:nvGraphicFramePr>
        <xdr:cNvPr id="29" name="Chart 28">
          <a:extLst>
            <a:ext uri="{FF2B5EF4-FFF2-40B4-BE49-F238E27FC236}">
              <a16:creationId xmlns:a16="http://schemas.microsoft.com/office/drawing/2014/main" id="{8C3B32BF-ED03-4153-B343-53194AE95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5</xdr:row>
      <xdr:rowOff>120187</xdr:rowOff>
    </xdr:from>
    <xdr:to>
      <xdr:col>1</xdr:col>
      <xdr:colOff>409650</xdr:colOff>
      <xdr:row>6</xdr:row>
      <xdr:rowOff>234137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1</xdr:row>
      <xdr:rowOff>477749</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11</xdr:row>
      <xdr:rowOff>161850</xdr:rowOff>
    </xdr:from>
    <xdr:to>
      <xdr:col>1</xdr:col>
      <xdr:colOff>409650</xdr:colOff>
      <xdr:row>14</xdr:row>
      <xdr:rowOff>4920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2</xdr:row>
      <xdr:rowOff>99356</xdr:rowOff>
    </xdr:from>
    <xdr:to>
      <xdr:col>1</xdr:col>
      <xdr:colOff>409650</xdr:colOff>
      <xdr:row>4</xdr:row>
      <xdr:rowOff>60972</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8</xdr:row>
      <xdr:rowOff>141018</xdr:rowOff>
    </xdr:from>
    <xdr:to>
      <xdr:col>1</xdr:col>
      <xdr:colOff>409650</xdr:colOff>
      <xdr:row>10</xdr:row>
      <xdr:rowOff>169667</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14</xdr:row>
      <xdr:rowOff>126149</xdr:rowOff>
    </xdr:from>
    <xdr:to>
      <xdr:col>1</xdr:col>
      <xdr:colOff>430529</xdr:colOff>
      <xdr:row>16</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752968518522" backgroundQuery="1" createdVersion="6" refreshedVersion="6" minRefreshableVersion="3" recordCount="0" supportSubquery="1" supportAdvancedDrill="1" xr:uid="{F35CDD0A-FC39-4424-A1CA-8461C5C4F0F1}">
  <cacheSource type="external" connectionId="1"/>
  <cacheFields count="0"/>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No.of Happy callers]" caption="No.of 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73510578704" backgroundQuery="1" createdVersion="6" refreshedVersion="6" minRefreshableVersion="3" recordCount="0" supportSubquery="1" supportAdvancedDrill="1" xr:uid="{026FE6F4-B453-42C7-AFBB-EF904F5B8037}">
  <cacheSource type="external" connectionId="1"/>
  <cacheFields count="3">
    <cacheField name="[customers].[City].[City]" caption="City" numFmtId="0" hierarchy="15" level="1">
      <sharedItems count="3">
        <s v="Cincinnati"/>
        <s v="Cleveland"/>
        <s v="Columbus"/>
      </sharedItems>
    </cacheField>
    <cacheField name="[Measures].[Call Count]" caption="Call Count" numFmtId="0" hierarchy="17" level="32767"/>
    <cacheField name="[customers].[Gedner].[Gedner]" caption="Gedner" numFmtId="0" hierarchy="13" level="1">
      <sharedItems count="2">
        <s v="Female"/>
        <s v="Male"/>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No.of Happy callers]" caption="No.of 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613032060188" backgroundQuery="1" createdVersion="6" refreshedVersion="6" minRefreshableVersion="3" recordCount="0" supportSubquery="1" supportAdvancedDrill="1" xr:uid="{D659BF51-64A3-4251-B924-92A42EAF0FCE}">
  <cacheSource type="external" connectionId="1"/>
  <cacheFields count="5">
    <cacheField name="[Measures].[Call Count]" caption="Call Count" numFmtId="0" hierarchy="17" level="32767"/>
    <cacheField name="[Measures].[Total Amount]" caption="Total Amount" numFmtId="0" hierarchy="18" level="32767"/>
    <cacheField name="[Measures].[No.of Happy callers]" caption="No.of Happy callers" numFmtId="0" hierarchy="21" level="32767"/>
    <cacheField name="[Measures].[Avg Rating]" caption="Avg Rating" numFmtId="0" hierarchy="20" level="32767"/>
    <cacheField name="[Measures].[Total Duration]" caption="Total Duration" numFmtId="0" hierarchy="19"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4"/>
      </fieldsUsage>
    </cacheHierarchy>
    <cacheHierarchy uniqueName="[Measures].[Avg Rating]" caption="Avg Rating" measure="1" displayFolder="" measureGroup="calls" count="0" oneField="1">
      <fieldsUsage count="1">
        <fieldUsage x="3"/>
      </fieldsUsage>
    </cacheHierarchy>
    <cacheHierarchy uniqueName="[Measures].[No.of Happy callers]" caption="No.of Happy callers" measure="1" displayFolder="" measureGroup="calls" count="0" oneField="1">
      <fieldsUsage count="1">
        <fieldUsage x="2"/>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649611574074" backgroundQuery="1" createdVersion="6" refreshedVersion="6" minRefreshableVersion="3" recordCount="0" supportSubquery="1" supportAdvancedDrill="1" xr:uid="{804B780B-EB2B-4957-B7BA-5E866B91C4B9}">
  <cacheSource type="external" connectionId="1"/>
  <cacheFields count="3">
    <cacheField name="[calls].[Representative].[Representative]" caption="Representative" numFmtId="0" hierarchy="3" level="1">
      <sharedItems count="5">
        <s v="R01"/>
        <s v="R02"/>
        <s v="R03"/>
        <s v="R04"/>
        <s v="R05"/>
      </sharedItems>
    </cacheField>
    <cacheField name="[Measures].[Total Amount]" caption="Total Amount" numFmtId="0" hierarchy="18" level="32767"/>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No.of Happy callers]" caption="No.of 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765321990744" backgroundQuery="1" createdVersion="6" refreshedVersion="6" minRefreshableVersion="3" recordCount="0" supportSubquery="1" supportAdvancedDrill="1" xr:uid="{AE8A600C-271C-49E3-BA43-2435E61E63E5}">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No.of Happy callers]" caption="No.of 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0.955495833332" backgroundQuery="1" createdVersion="6" refreshedVersion="6" minRefreshableVersion="3" recordCount="0" supportSubquery="1" supportAdvancedDrill="1" xr:uid="{111D66BE-32AE-4C84-9B4A-ED1B3B347743}">
  <cacheSource type="external" connectionId="1"/>
  <cacheFields count="6">
    <cacheField name="[Measures].[Call Count]" caption="Call Count" numFmtId="0" hierarchy="17" level="32767"/>
    <cacheField name="[Measures].[Total Amount]" caption="Total Amount" numFmtId="0" hierarchy="18" level="32767"/>
    <cacheField name="[Measures].[No.of Happy callers]" caption="No.of Happy callers" numFmtId="0" hierarchy="21" level="32767"/>
    <cacheField name="[Measures].[Avg Rating]" caption="Avg Rating" numFmtId="0" hierarchy="20" level="32767"/>
    <cacheField name="[Measures].[Total Duration]" caption="Total Duration" numFmtId="0" hierarchy="19"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4"/>
      </fieldsUsage>
    </cacheHierarchy>
    <cacheHierarchy uniqueName="[Measures].[Avg Rating]" caption="Avg Rating" measure="1" displayFolder="" measureGroup="calls" count="0" oneField="1">
      <fieldsUsage count="1">
        <fieldUsage x="3"/>
      </fieldsUsage>
    </cacheHierarchy>
    <cacheHierarchy uniqueName="[Measures].[No.of Happy callers]" caption="No.of Happy callers" measure="1" displayFolder="" measureGroup="calls" count="0" oneField="1">
      <fieldsUsage count="1">
        <fieldUsage x="2"/>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0.955496643517" backgroundQuery="1" createdVersion="6" refreshedVersion="6" minRefreshableVersion="3" recordCount="0" supportSubquery="1" supportAdvancedDrill="1" xr:uid="{3D7C20EA-B931-46F9-B4B5-713A2D8A0510}">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No.of Happy callers]" caption="No.of 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0.955497222225" backgroundQuery="1" createdVersion="6" refreshedVersion="6" minRefreshableVersion="3" recordCount="0" supportSubquery="1" supportAdvancedDrill="1" xr:uid="{2A09E5F6-1D53-4CB3-B346-6862FF98392A}">
  <cacheSource type="external" connectionId="1"/>
  <cacheFields count="3">
    <cacheField name="[calls].[Representative].[Representative]" caption="Representative" numFmtId="0" hierarchy="3" level="1">
      <sharedItems containsSemiMixedTypes="0" containsNonDate="0" containsString="0"/>
    </cacheField>
    <cacheField name="[Measures].[Call Count]" caption="Call Count" numFmtId="0" hierarchy="17" level="32767"/>
    <cacheField name="[calls].[Day of week].[Day of week]" caption="Day of week" numFmtId="0" hierarchy="8" level="1">
      <sharedItems count="7">
        <s v="Friday"/>
        <s v="Monday"/>
        <s v="Saturday"/>
        <s v="Sunday"/>
        <s v="Thursday"/>
        <s v="Tuesday"/>
        <s v="Wednesday"/>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2"/>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No.of Happy callers]" caption="No.of 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0.955497800926" backgroundQuery="1" createdVersion="6" refreshedVersion="6" minRefreshableVersion="3" recordCount="0" supportSubquery="1" supportAdvancedDrill="1" xr:uid="{7143A0D7-25DD-4DFA-8EEA-115BAD161F30}">
  <cacheSource type="external" connectionId="1"/>
  <cacheFields count="1">
    <cacheField name="[calls].[Representative].[Representative]" caption="Representative" numFmtId="0" hierarchy="3" level="1">
      <sharedItems count="1">
        <s v="R03"/>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No.of Happy callers]" caption="No.of 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0.955498495372" backgroundQuery="1" createdVersion="6" refreshedVersion="6" minRefreshableVersion="3" recordCount="0" supportSubquery="1" supportAdvancedDrill="1" xr:uid="{072355B4-2896-4C73-8A33-B3F722A8803B}">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No.of Happy callers]" caption="No.of 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613028009262" backgroundQuery="1" createdVersion="3" refreshedVersion="6" minRefreshableVersion="3" recordCount="0" supportSubquery="1" supportAdvancedDrill="1" xr:uid="{B8820306-7A85-4D37-B190-045FDA6DCB1E}">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No.of Happy callers]" caption="No.of Happy call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09984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0D4003-DD9E-4F3D-9908-6AA845363170}" name="weekly trend" cacheId="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1">
  <location ref="E19:F27"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7">
        <item x="3"/>
        <item x="1"/>
        <item x="5"/>
        <item x="6"/>
        <item x="4"/>
        <item x="0"/>
        <item x="2"/>
      </items>
    </pivotField>
  </pivotFields>
  <rowFields count="1">
    <field x="2"/>
  </rowFields>
  <rowItems count="8">
    <i>
      <x/>
    </i>
    <i>
      <x v="1"/>
    </i>
    <i>
      <x v="2"/>
    </i>
    <i>
      <x v="3"/>
    </i>
    <i>
      <x v="4"/>
    </i>
    <i>
      <x v="5"/>
    </i>
    <i>
      <x v="6"/>
    </i>
    <i t="grand">
      <x/>
    </i>
  </rowItems>
  <colItems count="1">
    <i/>
  </colItems>
  <dataFields count="1">
    <dataField name="Call Count2" fld="1" subtotal="count" baseField="0" baseItem="0"/>
  </dataFields>
  <chartFormats count="3">
    <chartFormat chart="3"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0BEA99-462E-44E0-AC78-98951114D4E8}" name="rep amounts" cacheId="4" applyNumberFormats="0" applyBorderFormats="0" applyFontFormats="0" applyPatternFormats="0" applyAlignmentFormats="0" applyWidthHeightFormats="1" dataCaption="Values" updatedVersion="6" minRefreshableVersion="3" useAutoFormatting="1" subtotalHiddenItems="1" rowGrandTotals="0" itemPrintTitles="1" createdVersion="6" indent="0" outline="1" outlineData="1" multipleFieldFilters="0" chartFormat="9">
  <location ref="D48:J67"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FE017E-2110-40E0-A3A6-6C001E098BC3}" name="reps pivot"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H6:J12"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2" subtotal="count" baseField="0" baseItem="0"/>
    <dataField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868E3C-383A-40AC-903F-22190A76BA1E}" name="rep satisfaction" cacheId="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9">
  <location ref="A48:B55"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97CB0F-AB43-4927-BBB7-48C8961A8FC1}" name="monthly trend" cacheId="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6">
  <location ref="A19:C3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C2EB66-6C10-40C9-94E8-1DEEF75A5391}" name="selected rep" cacheId="8"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location ref="H34:H35"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2">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1B9B63-CC56-4E6B-B131-3C27B80407AD}" name="PivotTable1"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location ref="A39:D44"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4">
    <i>
      <x/>
    </i>
    <i>
      <x v="1"/>
    </i>
    <i>
      <x v="2"/>
    </i>
    <i t="grand">
      <x/>
    </i>
  </rowItems>
  <colFields count="1">
    <field x="2"/>
  </colFields>
  <colItems count="3">
    <i>
      <x/>
    </i>
    <i>
      <x v="1"/>
    </i>
    <i t="grand">
      <x/>
    </i>
  </colItems>
  <dataFields count="1">
    <dataField fld="1" subtotal="count" baseField="0" baseItem="0"/>
  </dataField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B14B57-A8F3-4B19-8521-31F1AAD505FA}"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55:M72" firstHeaderRow="1" firstDataRow="1" firstDataCol="0"/>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01FCA7-5A22-42C8-830C-D676DCDB2464}" name="summary pivot"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9147AB-7A84-4630-9B16-D5A1F364A432}" name="rep pivot" cacheId="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13:E1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1B1B0B88-3D00-462A-A03F-9C6D1275D2D8}" sourceName="[calls].[Representative]">
  <pivotTables>
    <pivotTable tabId="6" name="rep pivot"/>
    <pivotTable tabId="6" name="monthly trend"/>
    <pivotTable tabId="6" name="weekly trend"/>
    <pivotTable tabId="6" name="selected rep"/>
    <pivotTable tabId="6" name="rep satisfaction"/>
  </pivotTables>
  <data>
    <olap pivotCacheId="7099843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129681F5-6A33-4D33-89C3-4802C497CD1F}" cache="Slicer_Representative" caption="Representative" level="1" style="SlicerStyleDark6"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6"/>
    <tableColumn id="5" xr3:uid="{5A35565E-8707-4DED-AD15-A0669D67B382}" name="Date of Call" dataDxfId="15"/>
    <tableColumn id="6" xr3:uid="{F2E4F158-B41F-47BC-8DF8-DFCADFEE4E40}" name="Purchase Amount"/>
    <tableColumn id="7" xr3:uid="{04B291B5-47BD-4F78-8FD8-D1551CCA6BD9}" name="Satisfaction Rating"/>
    <tableColumn id="8" xr3:uid="{6E4123C0-0B17-43B8-A142-A1E540CE974C}" name="FY" dataDxfId="14">
      <calculatedColumnFormula>IF(MONTH(calls[[#This Row],[Date of Call]])&lt;=6, YEAR(calls[[#This Row],[Date of Call]]), YEAR(calls[[#This Row],[Date of Call]])+1)</calculatedColumnFormula>
    </tableColumn>
    <tableColumn id="9" xr3:uid="{199FA271-5E9B-46CE-9BC6-2801F92CD17E}" name="Day of week" dataDxfId="13">
      <calculatedColumnFormula>TEXT(calls[[#This Row],[Date of Call]],"DDDD")</calculatedColumnFormula>
    </tableColumn>
    <tableColumn id="10" xr3:uid="{328CDB09-95B8-4D5E-9ED9-EF0D363735A1}" name="Duration Bucket" dataDxfId="12">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1">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0" headerRowBorderDxfId="9" tableBorderDxfId="8" totalsRowBorderDxfId="7">
  <autoFilter ref="Q3:T18" xr:uid="{27158F51-A707-4171-8A04-81FB0AABCBA5}"/>
  <tableColumns count="4">
    <tableColumn id="1" xr3:uid="{02688061-6A8C-4E23-B7FF-D00CD8B58CAC}" name="Customer ID" dataDxfId="6"/>
    <tableColumn id="2" xr3:uid="{771678B6-DB44-426B-9874-B4E421A440D5}" name="Gedner" dataDxfId="5"/>
    <tableColumn id="3" xr3:uid="{B0D41C62-587E-494D-B49A-603F2C05F8D3}" name="Age" dataDxfId="4"/>
    <tableColumn id="4" xr3:uid="{663F92D6-FE31-4D81-9E01-8D066DDC8A88}" name="City" dataDxfId="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2">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D2" zoomScale="70" zoomScaleNormal="115" workbookViewId="0">
      <selection activeCell="O21" sqref="O21"/>
    </sheetView>
  </sheetViews>
  <sheetFormatPr defaultRowHeight="14"/>
  <cols>
    <col min="1" max="1" width="3.25" customWidth="1"/>
    <col min="2" max="2" width="14.58203125" customWidth="1"/>
    <col min="3" max="3" width="12.83203125" customWidth="1"/>
    <col min="4" max="4" width="16.58203125" customWidth="1"/>
    <col min="5" max="5" width="15" customWidth="1"/>
    <col min="6" max="6" width="16.08203125" customWidth="1"/>
    <col min="7" max="7" width="17.25" customWidth="1"/>
    <col min="8" max="8" width="18.33203125" customWidth="1"/>
    <col min="9" max="9" width="17.25" customWidth="1"/>
    <col min="10" max="12" width="15.5" customWidth="1"/>
    <col min="13" max="16" width="7.5" customWidth="1"/>
    <col min="17" max="17" width="14.58203125" customWidth="1"/>
    <col min="20" max="20" width="10.58203125" customWidth="1"/>
  </cols>
  <sheetData>
    <row r="1" spans="2:20" s="4" customFormat="1" ht="48" customHeight="1">
      <c r="B1" s="5" t="s">
        <v>1003</v>
      </c>
    </row>
    <row r="2" spans="2:20">
      <c r="R2" s="1"/>
    </row>
    <row r="3" spans="2:20">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D1540-69A5-4A4E-A8AC-C717B955518C}">
  <dimension ref="A3:P72"/>
  <sheetViews>
    <sheetView topLeftCell="A49" zoomScale="71" workbookViewId="0">
      <selection activeCell="K72" sqref="K72"/>
    </sheetView>
  </sheetViews>
  <sheetFormatPr defaultRowHeight="14"/>
  <cols>
    <col min="1" max="1" width="14.5" bestFit="1" customWidth="1"/>
    <col min="2" max="2" width="10.4140625" bestFit="1" customWidth="1"/>
    <col min="3" max="3" width="11.5" bestFit="1" customWidth="1"/>
    <col min="4" max="4" width="10.9140625" bestFit="1" customWidth="1"/>
    <col min="5" max="5" width="14.5" bestFit="1" customWidth="1"/>
    <col min="6" max="6" width="11.5" bestFit="1" customWidth="1"/>
    <col min="7" max="7" width="12.5" customWidth="1"/>
    <col min="8" max="8" width="14.5" bestFit="1" customWidth="1"/>
    <col min="9" max="9" width="12" customWidth="1"/>
    <col min="10" max="10" width="17.25" customWidth="1"/>
    <col min="11" max="11" width="12.08203125" customWidth="1"/>
    <col min="14" max="14" width="10.83203125" bestFit="1" customWidth="1"/>
    <col min="15" max="15" width="11.25" customWidth="1"/>
    <col min="16" max="16" width="10.4140625" customWidth="1"/>
  </cols>
  <sheetData>
    <row r="3" spans="1:16">
      <c r="A3" t="s">
        <v>1040</v>
      </c>
      <c r="B3" t="s">
        <v>1041</v>
      </c>
      <c r="C3" t="s">
        <v>1044</v>
      </c>
      <c r="D3" t="s">
        <v>1043</v>
      </c>
      <c r="E3" t="s">
        <v>1042</v>
      </c>
    </row>
    <row r="4" spans="1:16">
      <c r="A4" s="20">
        <v>1000</v>
      </c>
      <c r="B4" s="22">
        <v>96623</v>
      </c>
      <c r="C4" s="20">
        <v>307</v>
      </c>
      <c r="D4" s="21">
        <v>3.8854000000000033</v>
      </c>
      <c r="E4" s="20">
        <v>89850</v>
      </c>
      <c r="L4" t="s">
        <v>1067</v>
      </c>
      <c r="O4" t="s">
        <v>1073</v>
      </c>
      <c r="P4" s="27" t="str">
        <f>H35</f>
        <v>R03</v>
      </c>
    </row>
    <row r="6" spans="1:16">
      <c r="H6" s="24" t="s">
        <v>1045</v>
      </c>
      <c r="I6" t="s">
        <v>1040</v>
      </c>
      <c r="J6" t="s">
        <v>1041</v>
      </c>
      <c r="L6" t="s">
        <v>1068</v>
      </c>
      <c r="M6" t="s">
        <v>1069</v>
      </c>
      <c r="N6" t="s">
        <v>1070</v>
      </c>
      <c r="O6" t="s">
        <v>1071</v>
      </c>
      <c r="P6" t="s">
        <v>1072</v>
      </c>
    </row>
    <row r="7" spans="1:16">
      <c r="H7" s="25" t="s">
        <v>11</v>
      </c>
      <c r="I7" s="20">
        <v>189</v>
      </c>
      <c r="J7" s="22">
        <v>18415</v>
      </c>
      <c r="L7" t="str">
        <f t="shared" ref="L7:N11" si="0">H7</f>
        <v>R01</v>
      </c>
      <c r="M7">
        <f t="shared" si="0"/>
        <v>189</v>
      </c>
      <c r="N7" s="47">
        <f t="shared" si="0"/>
        <v>18415</v>
      </c>
      <c r="O7" t="e">
        <f>IF(L7=$P$4,M7,NA())</f>
        <v>#N/A</v>
      </c>
      <c r="P7" t="e">
        <f>IF(L7=$P$4,N7,NA())</f>
        <v>#N/A</v>
      </c>
    </row>
    <row r="8" spans="1:16">
      <c r="H8" s="25" t="s">
        <v>9</v>
      </c>
      <c r="I8" s="20">
        <v>218</v>
      </c>
      <c r="J8" s="22">
        <v>20581</v>
      </c>
      <c r="L8" t="str">
        <f t="shared" si="0"/>
        <v>R02</v>
      </c>
      <c r="M8">
        <f t="shared" si="0"/>
        <v>218</v>
      </c>
      <c r="N8" s="47">
        <f t="shared" si="0"/>
        <v>20581</v>
      </c>
      <c r="O8" t="e">
        <f>IF(L8=$P$4,M8,NA())</f>
        <v>#N/A</v>
      </c>
      <c r="P8" t="e">
        <f>IF(L8=$P$4,N8,NA())</f>
        <v>#N/A</v>
      </c>
    </row>
    <row r="9" spans="1:16">
      <c r="H9" s="25" t="s">
        <v>6</v>
      </c>
      <c r="I9" s="20">
        <v>207</v>
      </c>
      <c r="J9" s="22">
        <v>20872</v>
      </c>
      <c r="L9" t="str">
        <f t="shared" si="0"/>
        <v>R03</v>
      </c>
      <c r="M9">
        <f t="shared" si="0"/>
        <v>207</v>
      </c>
      <c r="N9" s="47">
        <f t="shared" si="0"/>
        <v>20872</v>
      </c>
      <c r="O9">
        <f>IF(L9=$P$4,M9,NA())</f>
        <v>207</v>
      </c>
      <c r="P9">
        <f>IF(L9=$P$4,N9,NA())</f>
        <v>20872</v>
      </c>
    </row>
    <row r="10" spans="1:16">
      <c r="H10" s="25" t="s">
        <v>13</v>
      </c>
      <c r="I10" s="20">
        <v>186</v>
      </c>
      <c r="J10" s="22">
        <v>16651</v>
      </c>
      <c r="L10" t="str">
        <f t="shared" si="0"/>
        <v>R04</v>
      </c>
      <c r="M10">
        <f t="shared" si="0"/>
        <v>186</v>
      </c>
      <c r="N10" s="47">
        <f t="shared" si="0"/>
        <v>16651</v>
      </c>
      <c r="O10" t="e">
        <f>IF(L10=$P$4,M10,NA())</f>
        <v>#N/A</v>
      </c>
      <c r="P10" t="e">
        <f>IF(L10=$P$4,N10,NA())</f>
        <v>#N/A</v>
      </c>
    </row>
    <row r="11" spans="1:16">
      <c r="H11" s="25" t="s">
        <v>10</v>
      </c>
      <c r="I11" s="20">
        <v>200</v>
      </c>
      <c r="J11" s="22">
        <v>20104</v>
      </c>
      <c r="L11" t="str">
        <f t="shared" si="0"/>
        <v>R05</v>
      </c>
      <c r="M11">
        <f t="shared" si="0"/>
        <v>200</v>
      </c>
      <c r="N11" s="47">
        <f t="shared" si="0"/>
        <v>20104</v>
      </c>
      <c r="O11" t="e">
        <f>IF(L11=$P$4,M11,NA())</f>
        <v>#N/A</v>
      </c>
      <c r="P11" t="e">
        <f>IF(L11=$P$4,N11,NA())</f>
        <v>#N/A</v>
      </c>
    </row>
    <row r="12" spans="1:16">
      <c r="H12" s="25" t="s">
        <v>1046</v>
      </c>
      <c r="I12" s="20">
        <v>1000</v>
      </c>
      <c r="J12" s="22">
        <v>96623</v>
      </c>
    </row>
    <row r="13" spans="1:16">
      <c r="A13" t="s">
        <v>1040</v>
      </c>
      <c r="B13" t="s">
        <v>1041</v>
      </c>
      <c r="C13" t="s">
        <v>1044</v>
      </c>
      <c r="D13" t="s">
        <v>1043</v>
      </c>
      <c r="E13" t="s">
        <v>1042</v>
      </c>
    </row>
    <row r="14" spans="1:16">
      <c r="A14" s="20">
        <v>207</v>
      </c>
      <c r="B14" s="48">
        <v>20872</v>
      </c>
      <c r="C14" s="20">
        <v>60</v>
      </c>
      <c r="D14" s="21">
        <v>3.8589371980676304</v>
      </c>
      <c r="E14" s="20">
        <v>17700</v>
      </c>
    </row>
    <row r="19" spans="1:11">
      <c r="A19" s="24" t="s">
        <v>1045</v>
      </c>
      <c r="B19" t="s">
        <v>1040</v>
      </c>
      <c r="C19" t="s">
        <v>1059</v>
      </c>
      <c r="E19" s="24" t="s">
        <v>1045</v>
      </c>
      <c r="F19" t="s">
        <v>1059</v>
      </c>
    </row>
    <row r="20" spans="1:11">
      <c r="A20" s="25" t="s">
        <v>1047</v>
      </c>
      <c r="B20" s="20">
        <v>13</v>
      </c>
      <c r="C20" s="20">
        <v>13</v>
      </c>
      <c r="E20" s="25" t="s">
        <v>1063</v>
      </c>
      <c r="F20" s="20">
        <v>30</v>
      </c>
    </row>
    <row r="21" spans="1:11">
      <c r="A21" s="25" t="s">
        <v>1048</v>
      </c>
      <c r="B21" s="20">
        <v>13</v>
      </c>
      <c r="C21" s="20">
        <v>13</v>
      </c>
      <c r="E21" s="25" t="s">
        <v>1061</v>
      </c>
      <c r="F21" s="20">
        <v>34</v>
      </c>
    </row>
    <row r="22" spans="1:11">
      <c r="A22" s="25" t="s">
        <v>1049</v>
      </c>
      <c r="B22" s="20">
        <v>28</v>
      </c>
      <c r="C22" s="20">
        <v>28</v>
      </c>
      <c r="E22" s="25" t="s">
        <v>1065</v>
      </c>
      <c r="F22" s="20">
        <v>26</v>
      </c>
    </row>
    <row r="23" spans="1:11">
      <c r="A23" s="25" t="s">
        <v>1050</v>
      </c>
      <c r="B23" s="20">
        <v>24</v>
      </c>
      <c r="C23" s="20">
        <v>24</v>
      </c>
      <c r="E23" s="25" t="s">
        <v>1066</v>
      </c>
      <c r="F23" s="20">
        <v>38</v>
      </c>
    </row>
    <row r="24" spans="1:11">
      <c r="A24" s="25" t="s">
        <v>1051</v>
      </c>
      <c r="B24" s="20">
        <v>23</v>
      </c>
      <c r="C24" s="20">
        <v>23</v>
      </c>
      <c r="E24" s="25" t="s">
        <v>1064</v>
      </c>
      <c r="F24" s="20">
        <v>27</v>
      </c>
    </row>
    <row r="25" spans="1:11">
      <c r="A25" s="25" t="s">
        <v>1052</v>
      </c>
      <c r="B25" s="20">
        <v>17</v>
      </c>
      <c r="C25" s="20">
        <v>17</v>
      </c>
      <c r="E25" s="25" t="s">
        <v>1060</v>
      </c>
      <c r="F25" s="20">
        <v>27</v>
      </c>
    </row>
    <row r="26" spans="1:11">
      <c r="A26" s="25" t="s">
        <v>1053</v>
      </c>
      <c r="B26" s="20">
        <v>11</v>
      </c>
      <c r="C26" s="20">
        <v>11</v>
      </c>
      <c r="E26" s="25" t="s">
        <v>1062</v>
      </c>
      <c r="F26" s="20">
        <v>25</v>
      </c>
    </row>
    <row r="27" spans="1:11">
      <c r="A27" s="25" t="s">
        <v>1054</v>
      </c>
      <c r="B27" s="20">
        <v>11</v>
      </c>
      <c r="C27" s="20">
        <v>11</v>
      </c>
      <c r="E27" s="25" t="s">
        <v>1046</v>
      </c>
      <c r="F27" s="20">
        <v>207</v>
      </c>
    </row>
    <row r="28" spans="1:11">
      <c r="A28" s="25" t="s">
        <v>1055</v>
      </c>
      <c r="B28" s="20">
        <v>14</v>
      </c>
      <c r="C28" s="20">
        <v>14</v>
      </c>
      <c r="J28" s="43" t="s">
        <v>1075</v>
      </c>
    </row>
    <row r="29" spans="1:11">
      <c r="A29" s="25" t="s">
        <v>1056</v>
      </c>
      <c r="B29" s="20">
        <v>30</v>
      </c>
      <c r="C29" s="20">
        <v>30</v>
      </c>
    </row>
    <row r="30" spans="1:11">
      <c r="A30" s="25" t="s">
        <v>1057</v>
      </c>
      <c r="B30" s="20">
        <v>14</v>
      </c>
      <c r="C30" s="20">
        <v>14</v>
      </c>
      <c r="J30" t="s">
        <v>1076</v>
      </c>
      <c r="K30" s="44">
        <f>A14/A4</f>
        <v>0.20699999999999999</v>
      </c>
    </row>
    <row r="31" spans="1:11">
      <c r="A31" s="25" t="s">
        <v>1058</v>
      </c>
      <c r="B31" s="20">
        <v>9</v>
      </c>
      <c r="C31" s="20">
        <v>9</v>
      </c>
      <c r="J31" t="s">
        <v>1077</v>
      </c>
      <c r="K31">
        <f>LOOKUP(H35,H7:H11,I7:I11)</f>
        <v>207</v>
      </c>
    </row>
    <row r="32" spans="1:11">
      <c r="A32" s="25" t="s">
        <v>1046</v>
      </c>
      <c r="B32" s="20">
        <v>207</v>
      </c>
      <c r="C32" s="20">
        <v>207</v>
      </c>
      <c r="J32" t="s">
        <v>1070</v>
      </c>
      <c r="K32" s="45">
        <f>LOOKUP(H35,L7:L11,N7:N11)</f>
        <v>20872</v>
      </c>
    </row>
    <row r="34" spans="1:8">
      <c r="H34" s="24" t="s">
        <v>1045</v>
      </c>
    </row>
    <row r="35" spans="1:8">
      <c r="H35" s="26" t="s">
        <v>6</v>
      </c>
    </row>
    <row r="39" spans="1:8">
      <c r="A39" s="24" t="s">
        <v>1040</v>
      </c>
      <c r="B39" s="24" t="s">
        <v>1074</v>
      </c>
    </row>
    <row r="40" spans="1:8">
      <c r="A40" s="24" t="s">
        <v>1045</v>
      </c>
      <c r="B40" t="s">
        <v>999</v>
      </c>
      <c r="C40" t="s">
        <v>998</v>
      </c>
      <c r="D40" t="s">
        <v>1046</v>
      </c>
    </row>
    <row r="41" spans="1:8">
      <c r="A41" s="25" t="s">
        <v>1002</v>
      </c>
      <c r="B41" s="20">
        <v>144</v>
      </c>
      <c r="C41" s="20">
        <v>132</v>
      </c>
      <c r="D41" s="20">
        <v>276</v>
      </c>
    </row>
    <row r="42" spans="1:8">
      <c r="A42" s="25" t="s">
        <v>1001</v>
      </c>
      <c r="B42" s="20">
        <v>326</v>
      </c>
      <c r="C42" s="20">
        <v>63</v>
      </c>
      <c r="D42" s="20">
        <v>389</v>
      </c>
    </row>
    <row r="43" spans="1:8">
      <c r="A43" s="25" t="s">
        <v>1000</v>
      </c>
      <c r="B43" s="20">
        <v>129</v>
      </c>
      <c r="C43" s="20">
        <v>206</v>
      </c>
      <c r="D43" s="20">
        <v>335</v>
      </c>
    </row>
    <row r="44" spans="1:8">
      <c r="A44" s="25" t="s">
        <v>1046</v>
      </c>
      <c r="B44" s="20">
        <v>599</v>
      </c>
      <c r="C44" s="20">
        <v>401</v>
      </c>
      <c r="D44" s="20">
        <v>1000</v>
      </c>
    </row>
    <row r="48" spans="1:8">
      <c r="A48" s="24" t="s">
        <v>1045</v>
      </c>
      <c r="B48" t="s">
        <v>1040</v>
      </c>
      <c r="D48" s="24" t="s">
        <v>1041</v>
      </c>
      <c r="E48" s="24" t="s">
        <v>1074</v>
      </c>
    </row>
    <row r="49" spans="1:13">
      <c r="A49" s="25">
        <v>0</v>
      </c>
      <c r="B49" s="20">
        <v>1</v>
      </c>
      <c r="D49" s="24" t="s">
        <v>1045</v>
      </c>
      <c r="E49" t="s">
        <v>11</v>
      </c>
      <c r="F49" t="s">
        <v>9</v>
      </c>
      <c r="G49" t="s">
        <v>6</v>
      </c>
      <c r="H49" t="s">
        <v>13</v>
      </c>
      <c r="I49" t="s">
        <v>10</v>
      </c>
      <c r="J49" t="s">
        <v>1046</v>
      </c>
    </row>
    <row r="50" spans="1:13">
      <c r="A50" s="25">
        <v>1</v>
      </c>
      <c r="B50" s="20">
        <v>1</v>
      </c>
      <c r="D50" s="25" t="s">
        <v>1002</v>
      </c>
      <c r="E50" s="38"/>
      <c r="F50" s="38"/>
      <c r="G50" s="38"/>
      <c r="H50" s="38"/>
      <c r="I50" s="38"/>
      <c r="J50" s="38"/>
    </row>
    <row r="51" spans="1:13">
      <c r="A51" s="25">
        <v>2</v>
      </c>
      <c r="B51" s="20">
        <v>11</v>
      </c>
      <c r="D51" s="39" t="s">
        <v>20</v>
      </c>
      <c r="E51" s="28">
        <v>891</v>
      </c>
      <c r="F51" s="28">
        <v>1332</v>
      </c>
      <c r="G51" s="28">
        <v>1282</v>
      </c>
      <c r="H51" s="28">
        <v>739</v>
      </c>
      <c r="I51" s="28">
        <v>560</v>
      </c>
      <c r="J51" s="28">
        <v>4804</v>
      </c>
    </row>
    <row r="52" spans="1:13">
      <c r="A52" s="25">
        <v>3</v>
      </c>
      <c r="B52" s="20">
        <v>46</v>
      </c>
      <c r="D52" s="39" t="s">
        <v>12</v>
      </c>
      <c r="E52" s="28">
        <v>1991</v>
      </c>
      <c r="F52" s="28">
        <v>1886</v>
      </c>
      <c r="G52" s="28">
        <v>1206</v>
      </c>
      <c r="H52" s="28">
        <v>884</v>
      </c>
      <c r="I52" s="28">
        <v>1722</v>
      </c>
      <c r="J52" s="28">
        <v>7689</v>
      </c>
    </row>
    <row r="53" spans="1:13">
      <c r="A53" s="25">
        <v>4</v>
      </c>
      <c r="B53" s="20">
        <v>88</v>
      </c>
      <c r="D53" s="39" t="s">
        <v>8</v>
      </c>
      <c r="E53" s="28">
        <v>1163</v>
      </c>
      <c r="F53" s="28">
        <v>1180</v>
      </c>
      <c r="G53" s="28">
        <v>1616</v>
      </c>
      <c r="H53" s="28">
        <v>1043</v>
      </c>
      <c r="I53" s="28">
        <v>1747</v>
      </c>
      <c r="J53" s="28">
        <v>6749</v>
      </c>
    </row>
    <row r="54" spans="1:13">
      <c r="A54" s="25">
        <v>5</v>
      </c>
      <c r="B54" s="20">
        <v>60</v>
      </c>
      <c r="D54" s="39" t="s">
        <v>16</v>
      </c>
      <c r="E54" s="28">
        <v>1438</v>
      </c>
      <c r="F54" s="28">
        <v>1616</v>
      </c>
      <c r="G54" s="28">
        <v>866</v>
      </c>
      <c r="H54" s="28">
        <v>829</v>
      </c>
      <c r="I54" s="28">
        <v>2070</v>
      </c>
      <c r="J54" s="28">
        <v>6819</v>
      </c>
    </row>
    <row r="55" spans="1:13">
      <c r="A55" s="25" t="s">
        <v>1046</v>
      </c>
      <c r="B55" s="20">
        <v>207</v>
      </c>
      <c r="D55" s="25" t="s">
        <v>1001</v>
      </c>
      <c r="E55" s="38"/>
      <c r="F55" s="38"/>
      <c r="G55" s="38"/>
      <c r="H55" s="38"/>
      <c r="I55" s="38"/>
      <c r="J55" s="38"/>
      <c r="K55" s="29"/>
      <c r="L55" s="30"/>
      <c r="M55" s="31"/>
    </row>
    <row r="56" spans="1:13">
      <c r="D56" s="39" t="s">
        <v>24</v>
      </c>
      <c r="E56" s="28">
        <v>1233</v>
      </c>
      <c r="F56" s="28">
        <v>223</v>
      </c>
      <c r="G56" s="28">
        <v>1680</v>
      </c>
      <c r="H56" s="28">
        <v>990</v>
      </c>
      <c r="I56" s="28">
        <v>1508</v>
      </c>
      <c r="J56" s="28">
        <v>5634</v>
      </c>
      <c r="K56" s="32"/>
      <c r="L56" s="33"/>
      <c r="M56" s="34"/>
    </row>
    <row r="57" spans="1:13">
      <c r="D57" s="39" t="s">
        <v>15</v>
      </c>
      <c r="E57" s="28">
        <v>1598</v>
      </c>
      <c r="F57" s="28">
        <v>1907</v>
      </c>
      <c r="G57" s="28">
        <v>869</v>
      </c>
      <c r="H57" s="28">
        <v>1426</v>
      </c>
      <c r="I57" s="28">
        <v>1416</v>
      </c>
      <c r="J57" s="28">
        <v>7216</v>
      </c>
      <c r="K57" s="32"/>
      <c r="L57" s="33"/>
      <c r="M57" s="34"/>
    </row>
    <row r="58" spans="1:13">
      <c r="D58" s="39" t="s">
        <v>5</v>
      </c>
      <c r="E58" s="28">
        <v>900</v>
      </c>
      <c r="F58" s="28">
        <v>1016</v>
      </c>
      <c r="G58" s="28">
        <v>960</v>
      </c>
      <c r="H58" s="28">
        <v>940</v>
      </c>
      <c r="I58" s="28">
        <v>1193</v>
      </c>
      <c r="J58" s="28">
        <v>5009</v>
      </c>
      <c r="K58" s="32"/>
      <c r="L58" s="33"/>
      <c r="M58" s="34"/>
    </row>
    <row r="59" spans="1:13">
      <c r="D59" s="39" t="s">
        <v>18</v>
      </c>
      <c r="E59" s="28">
        <v>900</v>
      </c>
      <c r="F59" s="28">
        <v>1470</v>
      </c>
      <c r="G59" s="28">
        <v>1617</v>
      </c>
      <c r="H59" s="28">
        <v>1314</v>
      </c>
      <c r="I59" s="28">
        <v>941</v>
      </c>
      <c r="J59" s="28">
        <v>6242</v>
      </c>
      <c r="K59" s="32"/>
      <c r="L59" s="33"/>
      <c r="M59" s="34"/>
    </row>
    <row r="60" spans="1:13">
      <c r="D60" s="39" t="s">
        <v>14</v>
      </c>
      <c r="E60" s="28">
        <v>1255</v>
      </c>
      <c r="F60" s="28">
        <v>516</v>
      </c>
      <c r="G60" s="28">
        <v>1874</v>
      </c>
      <c r="H60" s="28">
        <v>1863</v>
      </c>
      <c r="I60" s="28">
        <v>1722</v>
      </c>
      <c r="J60" s="28">
        <v>7230</v>
      </c>
      <c r="K60" s="32"/>
      <c r="L60" s="33"/>
      <c r="M60" s="34"/>
    </row>
    <row r="61" spans="1:13">
      <c r="D61" s="39" t="s">
        <v>19</v>
      </c>
      <c r="E61" s="28">
        <v>1138</v>
      </c>
      <c r="F61" s="28">
        <v>1898</v>
      </c>
      <c r="G61" s="28">
        <v>1482</v>
      </c>
      <c r="H61" s="28">
        <v>846</v>
      </c>
      <c r="I61" s="28">
        <v>1154</v>
      </c>
      <c r="J61" s="28">
        <v>6518</v>
      </c>
      <c r="K61" s="32"/>
      <c r="L61" s="33"/>
      <c r="M61" s="34"/>
    </row>
    <row r="62" spans="1:13">
      <c r="D62" s="25" t="s">
        <v>1000</v>
      </c>
      <c r="E62" s="38"/>
      <c r="F62" s="38"/>
      <c r="G62" s="38"/>
      <c r="H62" s="38"/>
      <c r="I62" s="38"/>
      <c r="J62" s="38"/>
      <c r="K62" s="32"/>
      <c r="L62" s="33"/>
      <c r="M62" s="34"/>
    </row>
    <row r="63" spans="1:13">
      <c r="D63" s="39" t="s">
        <v>17</v>
      </c>
      <c r="E63" s="28">
        <v>1655</v>
      </c>
      <c r="F63" s="28">
        <v>805</v>
      </c>
      <c r="G63" s="28">
        <v>2263</v>
      </c>
      <c r="H63" s="28">
        <v>987</v>
      </c>
      <c r="I63" s="28">
        <v>1075</v>
      </c>
      <c r="J63" s="28">
        <v>6785</v>
      </c>
      <c r="K63" s="32"/>
      <c r="L63" s="33"/>
      <c r="M63" s="34"/>
    </row>
    <row r="64" spans="1:13">
      <c r="D64" s="39" t="s">
        <v>23</v>
      </c>
      <c r="E64" s="28">
        <v>1104</v>
      </c>
      <c r="F64" s="28">
        <v>2280</v>
      </c>
      <c r="G64" s="28">
        <v>1445</v>
      </c>
      <c r="H64" s="28">
        <v>1722</v>
      </c>
      <c r="I64" s="28">
        <v>1196</v>
      </c>
      <c r="J64" s="28">
        <v>7747</v>
      </c>
      <c r="K64" s="32"/>
      <c r="L64" s="33"/>
      <c r="M64" s="34"/>
    </row>
    <row r="65" spans="4:13">
      <c r="D65" s="39" t="s">
        <v>7</v>
      </c>
      <c r="E65" s="28">
        <v>372</v>
      </c>
      <c r="F65" s="28">
        <v>1818</v>
      </c>
      <c r="G65" s="28">
        <v>1346</v>
      </c>
      <c r="H65" s="28">
        <v>1156</v>
      </c>
      <c r="I65" s="28">
        <v>1484</v>
      </c>
      <c r="J65" s="28">
        <v>6176</v>
      </c>
      <c r="K65" s="32"/>
      <c r="L65" s="33"/>
      <c r="M65" s="34"/>
    </row>
    <row r="66" spans="4:13">
      <c r="D66" s="39" t="s">
        <v>22</v>
      </c>
      <c r="E66" s="28">
        <v>1415</v>
      </c>
      <c r="F66" s="28">
        <v>1271</v>
      </c>
      <c r="G66" s="28">
        <v>1214</v>
      </c>
      <c r="H66" s="28">
        <v>1135</v>
      </c>
      <c r="I66" s="28">
        <v>1566</v>
      </c>
      <c r="J66" s="28">
        <v>6601</v>
      </c>
      <c r="K66" s="32"/>
      <c r="L66" s="33"/>
      <c r="M66" s="34"/>
    </row>
    <row r="67" spans="4:13">
      <c r="D67" s="39" t="s">
        <v>21</v>
      </c>
      <c r="E67" s="28">
        <v>1362</v>
      </c>
      <c r="F67" s="28">
        <v>1363</v>
      </c>
      <c r="G67" s="28">
        <v>1152</v>
      </c>
      <c r="H67" s="28">
        <v>777</v>
      </c>
      <c r="I67" s="28">
        <v>750</v>
      </c>
      <c r="J67" s="28">
        <v>5404</v>
      </c>
      <c r="K67" s="32"/>
      <c r="L67" s="33"/>
      <c r="M67" s="34"/>
    </row>
    <row r="68" spans="4:13">
      <c r="K68" s="32"/>
      <c r="L68" s="33"/>
      <c r="M68" s="34"/>
    </row>
    <row r="69" spans="4:13">
      <c r="K69" s="32"/>
      <c r="L69" s="33"/>
      <c r="M69" s="34"/>
    </row>
    <row r="70" spans="4:13">
      <c r="K70" s="32"/>
      <c r="L70" s="33"/>
      <c r="M70" s="34"/>
    </row>
    <row r="71" spans="4:13">
      <c r="K71" s="32"/>
      <c r="L71" s="33"/>
      <c r="M71" s="34"/>
    </row>
    <row r="72" spans="4:13">
      <c r="K72" s="35"/>
      <c r="L72" s="36"/>
      <c r="M72" s="37"/>
    </row>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B2AA0-4F0C-4B75-AC7D-02A761749174}">
  <dimension ref="N21:T40"/>
  <sheetViews>
    <sheetView tabSelected="1" topLeftCell="A2" zoomScale="62" zoomScaleNormal="40" workbookViewId="0">
      <selection activeCell="AA16" sqref="AA16"/>
    </sheetView>
  </sheetViews>
  <sheetFormatPr defaultRowHeight="14"/>
  <cols>
    <col min="1" max="1" width="2.75" style="23" customWidth="1"/>
    <col min="2" max="2" width="2.6640625" style="23" customWidth="1"/>
    <col min="3" max="13" width="8.6640625" style="23"/>
    <col min="14" max="14" width="13.4140625" style="23" customWidth="1"/>
    <col min="15" max="15" width="14.4140625" style="23" customWidth="1"/>
    <col min="16" max="16" width="8.6640625" style="23"/>
    <col min="17" max="17" width="11.08203125" style="23" customWidth="1"/>
    <col min="18" max="18" width="11.33203125" style="23" customWidth="1"/>
    <col min="19" max="19" width="13.9140625" style="23" customWidth="1"/>
    <col min="20" max="20" width="13.4140625" style="23" customWidth="1"/>
    <col min="21" max="21" width="13.25" style="23" customWidth="1"/>
    <col min="22" max="22" width="13.9140625" style="23" customWidth="1"/>
    <col min="23" max="23" width="14.33203125" style="23" customWidth="1"/>
    <col min="24" max="24" width="14.58203125" style="23" customWidth="1"/>
    <col min="25" max="25" width="10.33203125" style="23" customWidth="1"/>
    <col min="26" max="16384" width="8.6640625" style="23"/>
  </cols>
  <sheetData>
    <row r="21" spans="14:20" ht="25" customHeight="1"/>
    <row r="22" spans="14:20" ht="18.5" customHeight="1">
      <c r="N22" s="40"/>
      <c r="O22" s="40" t="s">
        <v>11</v>
      </c>
      <c r="P22" s="40" t="s">
        <v>9</v>
      </c>
      <c r="Q22" s="40" t="s">
        <v>6</v>
      </c>
      <c r="R22" s="40" t="s">
        <v>13</v>
      </c>
      <c r="S22" s="40" t="s">
        <v>10</v>
      </c>
      <c r="T22" s="40" t="s">
        <v>1046</v>
      </c>
    </row>
    <row r="23" spans="14:20" ht="17.5" customHeight="1">
      <c r="N23" s="40" t="s">
        <v>1002</v>
      </c>
      <c r="O23" s="40"/>
      <c r="P23" s="40"/>
      <c r="Q23" s="40"/>
      <c r="R23" s="40"/>
      <c r="S23" s="40"/>
      <c r="T23" s="40"/>
    </row>
    <row r="24" spans="14:20">
      <c r="N24" s="40" t="s">
        <v>20</v>
      </c>
      <c r="O24" s="41">
        <v>891</v>
      </c>
      <c r="P24" s="41">
        <v>1332</v>
      </c>
      <c r="Q24" s="41">
        <v>1282</v>
      </c>
      <c r="R24" s="41">
        <v>739</v>
      </c>
      <c r="S24" s="41">
        <v>560</v>
      </c>
      <c r="T24" s="41">
        <v>4804</v>
      </c>
    </row>
    <row r="25" spans="14:20" ht="17.5" customHeight="1">
      <c r="N25" s="40" t="s">
        <v>12</v>
      </c>
      <c r="O25" s="41">
        <v>1991</v>
      </c>
      <c r="P25" s="41">
        <v>1886</v>
      </c>
      <c r="Q25" s="41">
        <v>1206</v>
      </c>
      <c r="R25" s="41">
        <v>884</v>
      </c>
      <c r="S25" s="41">
        <v>1722</v>
      </c>
      <c r="T25" s="41">
        <v>7689</v>
      </c>
    </row>
    <row r="26" spans="14:20" ht="17.5" customHeight="1">
      <c r="N26" s="40" t="s">
        <v>8</v>
      </c>
      <c r="O26" s="41">
        <v>1163</v>
      </c>
      <c r="P26" s="41">
        <v>1180</v>
      </c>
      <c r="Q26" s="41">
        <v>1616</v>
      </c>
      <c r="R26" s="41">
        <v>1043</v>
      </c>
      <c r="S26" s="41">
        <v>1747</v>
      </c>
      <c r="T26" s="41">
        <v>6749</v>
      </c>
    </row>
    <row r="27" spans="14:20" ht="19.5" customHeight="1">
      <c r="N27" s="40" t="s">
        <v>16</v>
      </c>
      <c r="O27" s="41">
        <v>1438</v>
      </c>
      <c r="P27" s="41">
        <v>1616</v>
      </c>
      <c r="Q27" s="41">
        <v>866</v>
      </c>
      <c r="R27" s="41">
        <v>829</v>
      </c>
      <c r="S27" s="41">
        <v>2070</v>
      </c>
      <c r="T27" s="41">
        <v>6819</v>
      </c>
    </row>
    <row r="28" spans="14:20" ht="17" customHeight="1">
      <c r="N28" s="40" t="s">
        <v>1001</v>
      </c>
      <c r="O28" s="41"/>
      <c r="P28" s="41"/>
      <c r="Q28" s="41"/>
      <c r="R28" s="41"/>
      <c r="S28" s="41"/>
      <c r="T28" s="41"/>
    </row>
    <row r="29" spans="14:20" ht="19.5" customHeight="1">
      <c r="N29" s="40" t="s">
        <v>24</v>
      </c>
      <c r="O29" s="41">
        <v>1233</v>
      </c>
      <c r="P29" s="41">
        <v>223</v>
      </c>
      <c r="Q29" s="41">
        <v>1680</v>
      </c>
      <c r="R29" s="41">
        <v>990</v>
      </c>
      <c r="S29" s="41">
        <v>1508</v>
      </c>
      <c r="T29" s="41">
        <v>5634</v>
      </c>
    </row>
    <row r="30" spans="14:20" ht="17.5" customHeight="1">
      <c r="N30" s="40" t="s">
        <v>15</v>
      </c>
      <c r="O30" s="41">
        <v>1598</v>
      </c>
      <c r="P30" s="41">
        <v>1907</v>
      </c>
      <c r="Q30" s="41">
        <v>869</v>
      </c>
      <c r="R30" s="41">
        <v>1426</v>
      </c>
      <c r="S30" s="41">
        <v>1416</v>
      </c>
      <c r="T30" s="41">
        <v>7216</v>
      </c>
    </row>
    <row r="31" spans="14:20" ht="19.5" customHeight="1">
      <c r="N31" s="40" t="s">
        <v>5</v>
      </c>
      <c r="O31" s="41">
        <v>900</v>
      </c>
      <c r="P31" s="41">
        <v>1016</v>
      </c>
      <c r="Q31" s="41">
        <v>960</v>
      </c>
      <c r="R31" s="41">
        <v>940</v>
      </c>
      <c r="S31" s="41">
        <v>1193</v>
      </c>
      <c r="T31" s="41">
        <v>5009</v>
      </c>
    </row>
    <row r="32" spans="14:20" ht="17.5" customHeight="1">
      <c r="N32" s="40" t="s">
        <v>18</v>
      </c>
      <c r="O32" s="41">
        <v>900</v>
      </c>
      <c r="P32" s="41">
        <v>1470</v>
      </c>
      <c r="Q32" s="41">
        <v>1617</v>
      </c>
      <c r="R32" s="41">
        <v>1314</v>
      </c>
      <c r="S32" s="41">
        <v>941</v>
      </c>
      <c r="T32" s="41">
        <v>6242</v>
      </c>
    </row>
    <row r="33" spans="14:20" ht="19.5" customHeight="1">
      <c r="N33" s="40" t="s">
        <v>14</v>
      </c>
      <c r="O33" s="41">
        <v>1255</v>
      </c>
      <c r="P33" s="41">
        <v>516</v>
      </c>
      <c r="Q33" s="41">
        <v>1874</v>
      </c>
      <c r="R33" s="41">
        <v>1863</v>
      </c>
      <c r="S33" s="41">
        <v>1722</v>
      </c>
      <c r="T33" s="41">
        <v>7230</v>
      </c>
    </row>
    <row r="34" spans="14:20" ht="17" customHeight="1">
      <c r="N34" s="40" t="s">
        <v>19</v>
      </c>
      <c r="O34" s="41">
        <v>1138</v>
      </c>
      <c r="P34" s="41">
        <v>1898</v>
      </c>
      <c r="Q34" s="41">
        <v>1482</v>
      </c>
      <c r="R34" s="41">
        <v>846</v>
      </c>
      <c r="S34" s="41">
        <v>1154</v>
      </c>
      <c r="T34" s="41">
        <v>6518</v>
      </c>
    </row>
    <row r="35" spans="14:20" ht="17" customHeight="1">
      <c r="N35" s="40" t="s">
        <v>1000</v>
      </c>
      <c r="O35" s="41"/>
      <c r="P35" s="42"/>
      <c r="Q35" s="41"/>
      <c r="R35" s="41"/>
      <c r="S35" s="41"/>
      <c r="T35" s="41"/>
    </row>
    <row r="36" spans="14:20" ht="18.5" customHeight="1">
      <c r="N36" s="40" t="s">
        <v>17</v>
      </c>
      <c r="O36" s="41">
        <v>1655</v>
      </c>
      <c r="P36" s="41">
        <v>805</v>
      </c>
      <c r="Q36" s="41">
        <v>2263</v>
      </c>
      <c r="R36" s="41">
        <v>987</v>
      </c>
      <c r="S36" s="41">
        <v>1075</v>
      </c>
      <c r="T36" s="41">
        <v>6785</v>
      </c>
    </row>
    <row r="37" spans="14:20" ht="17.5" customHeight="1">
      <c r="N37" s="40" t="s">
        <v>23</v>
      </c>
      <c r="O37" s="41">
        <v>1104</v>
      </c>
      <c r="P37" s="41">
        <v>2280</v>
      </c>
      <c r="Q37" s="41">
        <v>1445</v>
      </c>
      <c r="R37" s="41">
        <v>1722</v>
      </c>
      <c r="S37" s="41">
        <v>1196</v>
      </c>
      <c r="T37" s="41">
        <v>7747</v>
      </c>
    </row>
    <row r="38" spans="14:20" ht="16" customHeight="1">
      <c r="N38" s="40" t="s">
        <v>7</v>
      </c>
      <c r="O38" s="41">
        <v>372</v>
      </c>
      <c r="P38" s="41">
        <v>1818</v>
      </c>
      <c r="Q38" s="41">
        <v>1346</v>
      </c>
      <c r="R38" s="41">
        <v>1156</v>
      </c>
      <c r="S38" s="41">
        <v>1484</v>
      </c>
      <c r="T38" s="41">
        <v>6176</v>
      </c>
    </row>
    <row r="39" spans="14:20" ht="19.5" customHeight="1">
      <c r="N39" s="40" t="s">
        <v>22</v>
      </c>
      <c r="O39" s="41">
        <v>1415</v>
      </c>
      <c r="P39" s="41">
        <v>1271</v>
      </c>
      <c r="Q39" s="41">
        <v>1214</v>
      </c>
      <c r="R39" s="41">
        <v>1135</v>
      </c>
      <c r="S39" s="41">
        <v>1566</v>
      </c>
      <c r="T39" s="41">
        <v>6601</v>
      </c>
    </row>
    <row r="40" spans="14:20">
      <c r="N40" s="46"/>
    </row>
  </sheetData>
  <conditionalFormatting sqref="O24:S39">
    <cfRule type="dataBar" priority="3">
      <dataBar>
        <cfvo type="num" val="0"/>
        <cfvo type="formula" val="MAX($O$24:$S$39)*2"/>
        <color rgb="FFFF555A"/>
      </dataBar>
      <extLst>
        <ext xmlns:x14="http://schemas.microsoft.com/office/spreadsheetml/2009/9/main" uri="{B025F937-C7B1-47D3-B67F-A62EFF666E3E}">
          <x14:id>{503C544B-480F-4500-8FAA-DB8A14F1ECDC}</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503C544B-480F-4500-8FAA-DB8A14F1ECDC}">
            <x14:dataBar minLength="0" maxLength="100" gradient="0">
              <x14:cfvo type="num">
                <xm:f>0</xm:f>
              </x14:cfvo>
              <x14:cfvo type="formula">
                <xm:f>MAX($O$24:$S$39)*2</xm:f>
              </x14:cfvo>
              <x14:negativeFillColor rgb="FFFF0000"/>
              <x14:axisColor rgb="FF000000"/>
            </x14:dataBar>
          </x14:cfRule>
          <xm:sqref>O24:S39</xm:sqref>
        </x14:conditionalFormatting>
        <x14:conditionalFormatting xmlns:xm="http://schemas.microsoft.com/office/excel/2006/main">
          <x14:cfRule type="expression" priority="6" id="{51020622-E1D8-4151-BE11-454B16DE2A02}">
            <xm:f>O$22=Pivots!$H$35</xm:f>
            <x14:dxf>
              <fill>
                <patternFill>
                  <bgColor theme="9" tint="0.59996337778862885"/>
                </patternFill>
              </fill>
              <border>
                <left style="thin">
                  <color theme="1" tint="0.24994659260841701"/>
                </left>
                <right style="thin">
                  <color theme="1" tint="0.24994659260841701"/>
                </right>
                <top style="thin">
                  <color theme="1" tint="0.24994659260841701"/>
                </top>
                <bottom style="thin">
                  <color theme="1" tint="0.24994659260841701"/>
                </bottom>
                <vertical/>
                <horizontal/>
              </border>
            </x14:dxf>
          </x14:cfRule>
          <x14:cfRule type="expression" priority="7" id="{7E3DEF19-6DD8-433A-BA50-E84F19A696B2}">
            <xm:f>O$22=Pivots!$H$35</xm:f>
            <x14:dxf>
              <fill>
                <patternFill>
                  <bgColor theme="9" tint="0.39994506668294322"/>
                </patternFill>
              </fill>
              <border>
                <left style="thin">
                  <color theme="1"/>
                </left>
                <right style="thin">
                  <color theme="1"/>
                </right>
                <top style="thin">
                  <color theme="1"/>
                </top>
                <bottom style="thin">
                  <color theme="1"/>
                </bottom>
                <vertical/>
                <horizontal/>
              </border>
            </x14:dxf>
          </x14:cfRule>
          <xm:sqref>Q23:S39 O22:P39</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A2:A7"/>
  <sheetViews>
    <sheetView zoomScale="67" zoomScaleNormal="115" workbookViewId="0">
      <selection activeCell="F15" sqref="F15"/>
    </sheetView>
  </sheetViews>
  <sheetFormatPr defaultRowHeight="14"/>
  <cols>
    <col min="5" max="5" width="10.83203125" customWidth="1"/>
    <col min="6" max="6" width="23.33203125" customWidth="1"/>
  </cols>
  <sheetData>
    <row r="2" ht="42.5" customHeight="1"/>
    <row r="3" ht="18.5" customHeight="1"/>
    <row r="4" ht="16.5" customHeight="1"/>
    <row r="5" ht="16.5" customHeight="1"/>
    <row r="6" ht="22" customHeight="1"/>
    <row r="7" ht="19"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Pivots</vt:lpstr>
      <vt:lpstr>Customer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USER</cp:lastModifiedBy>
  <dcterms:created xsi:type="dcterms:W3CDTF">2021-03-14T20:21:32Z</dcterms:created>
  <dcterms:modified xsi:type="dcterms:W3CDTF">2025-12-10T12:42:05Z</dcterms:modified>
</cp:coreProperties>
</file>